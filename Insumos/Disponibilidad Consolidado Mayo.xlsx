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defaultThemeVersion="202300"/>
  <mc:AlternateContent xmlns:mc="http://schemas.openxmlformats.org/markup-compatibility/2006">
    <mc:Choice Requires="x15">
      <x15ac:absPath xmlns:x15ac="http://schemas.microsoft.com/office/spreadsheetml/2010/11/ac" url="/Users/yordypardopajaro/Proyectos/InformeAccionFiduciariaRemake/Insumos/"/>
    </mc:Choice>
  </mc:AlternateContent>
  <xr:revisionPtr revIDLastSave="0" documentId="13_ncr:1_{7D19B93B-C97C-6341-B3C5-8FEA735B4901}" xr6:coauthVersionLast="47" xr6:coauthVersionMax="47" xr10:uidLastSave="{00000000-0000-0000-0000-000000000000}"/>
  <bookViews>
    <workbookView xWindow="0" yWindow="780" windowWidth="36000" windowHeight="22600" activeTab="3" xr2:uid="{503FB679-EDCF-495D-8857-2B7034316040}"/>
  </bookViews>
  <sheets>
    <sheet name="Disponibilidad" sheetId="1" r:id="rId1"/>
    <sheet name="Capacidad" sheetId="7" r:id="rId2"/>
    <sheet name="Inidcadores" sheetId="5" r:id="rId3"/>
    <sheet name="Casos" sheetId="6" r:id="rId4"/>
    <sheet name="Grafica Dispo y Gestion" sheetId="2" r:id="rId5"/>
    <sheet name="Backups" sheetId="4" r:id="rId6"/>
    <sheet name="Mitigación" sheetId="8" r:id="rId7"/>
    <sheet name="Logros" sheetId="9" r:id="rId8"/>
  </sheets>
  <definedNames>
    <definedName name="_xlnm._FilterDatabase" localSheetId="1" hidden="1">Capacidad!$B$4:$S$13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9" i="2" l="1"/>
  <c r="R27" i="2"/>
  <c r="R19" i="2" l="1"/>
</calcChain>
</file>

<file path=xl/sharedStrings.xml><?xml version="1.0" encoding="utf-8"?>
<sst xmlns="http://schemas.openxmlformats.org/spreadsheetml/2006/main" count="159" uniqueCount="96">
  <si>
    <t>% disponibilidad CI</t>
  </si>
  <si>
    <t>Cliente</t>
  </si>
  <si>
    <t>Tipo Ci</t>
  </si>
  <si>
    <t>Meta</t>
  </si>
  <si>
    <t>Acción Fiduciaria</t>
  </si>
  <si>
    <t>INVERACCION</t>
  </si>
  <si>
    <t>99.30%</t>
  </si>
  <si>
    <t>ACBACOLG</t>
  </si>
  <si>
    <t>APPACCION</t>
  </si>
  <si>
    <t>INVHISTO</t>
  </si>
  <si>
    <t>PWP</t>
  </si>
  <si>
    <t>PSE</t>
  </si>
  <si>
    <t>ACCIONAR</t>
  </si>
  <si>
    <t>INTRANET</t>
  </si>
  <si>
    <t>ORFEO</t>
  </si>
  <si>
    <t>ACCION</t>
  </si>
  <si>
    <t>CORETUTASK</t>
  </si>
  <si>
    <t>LEGALBC</t>
  </si>
  <si>
    <t>VLOZ</t>
  </si>
  <si>
    <t>CHEETA</t>
  </si>
  <si>
    <t>MATRIZ CAPACIDAD</t>
  </si>
  <si>
    <t>u03/indices/cheetaidx01</t>
  </si>
  <si>
    <t>u07/data/invhistdata03</t>
  </si>
  <si>
    <t>u02/data/cheetadata01</t>
  </si>
  <si>
    <t>u02/data/acbakifrsdata01</t>
  </si>
  <si>
    <t>/u02/data/inverdata01</t>
  </si>
  <si>
    <t>u07/data/invhistdata01</t>
  </si>
  <si>
    <t>u02/data/inverdata02</t>
  </si>
  <si>
    <t>u02/data/inverdata03</t>
  </si>
  <si>
    <t>u03/indices/inveridx01</t>
  </si>
  <si>
    <t>INDICADOR</t>
  </si>
  <si>
    <t>META</t>
  </si>
  <si>
    <t>Disponibilidad de la plataforma administrada</t>
  </si>
  <si>
    <t>Cumplimiento tiempos de Atención</t>
  </si>
  <si>
    <t>Cumplimiento de entregables</t>
  </si>
  <si>
    <t>NOVI</t>
  </si>
  <si>
    <t>DIC</t>
  </si>
  <si>
    <t>ENER</t>
  </si>
  <si>
    <t xml:space="preserve"> Bloqueos</t>
  </si>
  <si>
    <t xml:space="preserve"> Crear Base de datos</t>
  </si>
  <si>
    <t xml:space="preserve"> Generar backup / Restaurar</t>
  </si>
  <si>
    <t xml:space="preserve"> Revision Bloqueos</t>
  </si>
  <si>
    <t xml:space="preserve"> Solicitud de servicio</t>
  </si>
  <si>
    <t>CATEGORIA</t>
  </si>
  <si>
    <t>ALERTAS</t>
  </si>
  <si>
    <t>REQUERIMIENTOS</t>
  </si>
  <si>
    <t>INCIDENTES</t>
  </si>
  <si>
    <t>MOTOR</t>
  </si>
  <si>
    <t>PRODUCCION</t>
  </si>
  <si>
    <t>PRUEBAS</t>
  </si>
  <si>
    <t>SQLSERVER</t>
  </si>
  <si>
    <t>MYSQL</t>
  </si>
  <si>
    <t>Disponibilidad Real</t>
  </si>
  <si>
    <t>CI</t>
  </si>
  <si>
    <t>SQL</t>
  </si>
  <si>
    <t>Mysql</t>
  </si>
  <si>
    <t>Oracle</t>
  </si>
  <si>
    <t>Aws</t>
  </si>
  <si>
    <t>Disponibilidad SETI</t>
  </si>
  <si>
    <t>INSTANCIAS</t>
  </si>
  <si>
    <t>Promedio</t>
  </si>
  <si>
    <t>HALLAZGO</t>
  </si>
  <si>
    <t>MITIGACIÓN</t>
  </si>
  <si>
    <t>RESPONSABLE</t>
  </si>
  <si>
    <t>OBSERVACIONES</t>
  </si>
  <si>
    <t>Se evidencia que el Rac Oracle compuesto por dos nodos, se encuentra desactualizado con los diversos parches que continuamente entrega el proveedor Oracle, actualmente la version  es 19.0.0, La version del fabricante y que se a desplegado en los otros servidores de oracle es 19.25 con fecha de actubre 2024</t>
  </si>
  <si>
    <t>Corregir errores (bugs)
Los PSU contienen correcciones acumulativas de errores que Oracle ha identificado y solucionado desde la última versión base o parche anterior. Estos bugs pueden ser funcionales, de rendimiento, de seguridad o de estabilidad.
Actualizar parches de seguridad
Incorporan los parches críticos de seguridad (Critical Patch Updates, o CPU) que Oracle libera de manera periódica (cada trimestre), ayudando a proteger la base de datos frente a vulnerabilidades conocidas.
Mejorar la estabilidad del sistema
Al corregir errores y aplicar ajustes recomendados, los PSU suelen mejorar la estabilidad y confiabilidad del entorno Oracle.</t>
  </si>
  <si>
    <t>SETI</t>
  </si>
  <si>
    <t>Se requiere ejecucion de  parches en ambientes previos para evitar problemas en el comportamiento de las bases de datos antes de realizar la actividad en produccion. dicha actividad se ejecuto en los meses de enero y febrero del 2025.
Se requiere  ventana para implementar los parches a los siguientes productos en PROD: Grid Infraestrutura, base de datos Oraqcle 19c y Oracle 12c</t>
  </si>
  <si>
    <t>Obsolescencia tecnológica
El hardware ya no es compatible con sistemas operativos o software modernos.
Falta de soporte para virtualización, almacenamiento moderno o redes rápidas.
Limitaciones de procesamiento, memoria o disco frente a las necesidades actuales.</t>
  </si>
  <si>
    <t>Crear un servidor nuevo con la configuracion necesaria para la migracion de la base de datos en la nueva infraestructura</t>
  </si>
  <si>
    <t>La actividad debe realizarse primero en ambiente previo para validar el correcto funcionamiento, Esta actividad se realizo el el mes de enero 2025</t>
  </si>
  <si>
    <t>Obsolecensia de producto, la base de datos OnBase se encuentra en version oracle 12</t>
  </si>
  <si>
    <t xml:space="preserve"> Migrar a versión Oracle 19c.</t>
  </si>
  <si>
    <t>Se requiere que la Base de datos del ambiente productivo sea  configurada como standalone antes de hacer la migracion ya que se encuentra en RAC, debido a que en los ambientes previos no se cuenta con la infraestructura RAC.</t>
  </si>
  <si>
    <t>LINEA SERVICIO</t>
  </si>
  <si>
    <t>LOGRO</t>
  </si>
  <si>
    <t>BENEFICIO</t>
  </si>
  <si>
    <t>Total</t>
  </si>
  <si>
    <t>Indices</t>
  </si>
  <si>
    <t>Procesos</t>
  </si>
  <si>
    <t>Objetosdesc</t>
  </si>
  <si>
    <t>Produccion Fs</t>
  </si>
  <si>
    <t>Categoria</t>
  </si>
  <si>
    <t>total2</t>
  </si>
  <si>
    <t>Conexiones</t>
  </si>
  <si>
    <t>PGA</t>
  </si>
  <si>
    <t>Extends Disponibles</t>
  </si>
  <si>
    <t>Statistics (Oracle)</t>
  </si>
  <si>
    <t>SGA</t>
  </si>
  <si>
    <t>Errors in Alert</t>
  </si>
  <si>
    <t>SQL Server FailedJobs</t>
  </si>
  <si>
    <t>SQL Server Statistics</t>
  </si>
  <si>
    <t>ABR</t>
  </si>
  <si>
    <t>Cumplimiento tiempos de Solucion</t>
  </si>
  <si>
    <t>Alertas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</si>
</sst>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b/>
      <sz val="11"/>
      <color theme="0"/>
      <name val="Aptos Narrow"/>
      <family val="2"/>
      <scheme val="minor"/>
    </font>
    <font>
      <b/>
      <sz val="14"/>
      <color theme="0"/>
      <name val="Aptos Narrow"/>
      <family val="2"/>
      <scheme val="minor"/>
    </font>
    <font>
      <sz val="12"/>
      <color rgb="FF000000"/>
      <name val="Calibri"/>
      <family val="2"/>
    </font>
    <font>
      <sz val="11"/>
      <color rgb="FF000000"/>
      <name val="Arial"/>
      <family val="2"/>
    </font>
    <font>
      <sz val="11"/>
      <color rgb="FF000000"/>
      <name val="Aptos Narrow"/>
      <family val="2"/>
    </font>
    <font>
      <sz val="11"/>
      <name val="Aptos Narrow"/>
      <family val="2"/>
    </font>
    <font>
      <b/>
      <sz val="11"/>
      <color theme="0"/>
      <name val="Aptos Narrow"/>
      <family val="2"/>
    </font>
    <font>
      <b/>
      <sz val="11"/>
      <color theme="0"/>
      <name val="Calibri"/>
      <family val="2"/>
    </font>
    <font>
      <sz val="11"/>
      <color rgb="FF000000"/>
      <name val="Calibri"/>
      <family val="2"/>
    </font>
    <font>
      <b/>
      <sz val="11"/>
      <color rgb="FF000000"/>
      <name val="Aptos Narrow"/>
      <family val="2"/>
    </font>
    <font>
      <sz val="11"/>
      <color theme="1"/>
      <name val="Aptos Narrow"/>
      <family val="2"/>
    </font>
    <font>
      <b/>
      <sz val="11"/>
      <color rgb="FFFFFFFF"/>
      <name val="Aptos Narrow"/>
      <family val="2"/>
    </font>
    <font>
      <sz val="10"/>
      <color theme="1"/>
      <name val="Arial"/>
      <family val="2"/>
    </font>
    <font>
      <sz val="11"/>
      <color rgb="FF242424"/>
      <name val="Segoe UI"/>
      <family val="2"/>
    </font>
    <font>
      <b/>
      <sz val="14"/>
      <color rgb="FFFFFFFF"/>
      <name val="Aptos Narrow"/>
      <family val="2"/>
    </font>
    <font>
      <sz val="12"/>
      <color rgb="FF000000"/>
      <name val="Verdana"/>
      <family val="2"/>
    </font>
    <font>
      <b/>
      <sz val="12"/>
      <color rgb="FFFFFFFF"/>
      <name val="Aptos Narrow"/>
      <family val="2"/>
    </font>
    <font>
      <sz val="11"/>
      <color rgb="FFFF0000"/>
      <name val="Aptos Narrow"/>
      <family val="2"/>
    </font>
  </fonts>
  <fills count="9">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FF0000"/>
        <bgColor rgb="FF000000"/>
      </patternFill>
    </fill>
    <fill>
      <patternFill patternType="solid">
        <fgColor rgb="FFFFFFFF"/>
        <bgColor indexed="64"/>
      </patternFill>
    </fill>
    <fill>
      <patternFill patternType="solid">
        <fgColor rgb="FFC00000"/>
        <bgColor rgb="FF000000"/>
      </patternFill>
    </fill>
    <fill>
      <patternFill patternType="solid">
        <fgColor rgb="FFFFFF00"/>
        <bgColor rgb="FF000000"/>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top style="thin">
        <color rgb="FF000000"/>
      </top>
      <bottom/>
      <diagonal/>
    </border>
  </borders>
  <cellStyleXfs count="1">
    <xf numFmtId="0" fontId="0" fillId="0" borderId="0"/>
  </cellStyleXfs>
  <cellXfs count="75">
    <xf numFmtId="0" fontId="0" fillId="0" borderId="0" xfId="0"/>
    <xf numFmtId="17" fontId="1" fillId="2" borderId="1" xfId="0" applyNumberFormat="1" applyFont="1" applyFill="1" applyBorder="1"/>
    <xf numFmtId="0" fontId="1" fillId="2" borderId="2" xfId="0" applyFont="1" applyFill="1" applyBorder="1"/>
    <xf numFmtId="0" fontId="4" fillId="0" borderId="1" xfId="0" applyFont="1" applyBorder="1" applyAlignment="1">
      <alignment vertical="center"/>
    </xf>
    <xf numFmtId="9" fontId="0" fillId="0" borderId="1" xfId="0" applyNumberFormat="1" applyBorder="1" applyAlignment="1">
      <alignment vertical="center"/>
    </xf>
    <xf numFmtId="10" fontId="3" fillId="0" borderId="1" xfId="0" applyNumberFormat="1" applyFont="1" applyBorder="1" applyAlignment="1">
      <alignment vertical="center"/>
    </xf>
    <xf numFmtId="9" fontId="5" fillId="0" borderId="3" xfId="0" applyNumberFormat="1" applyFont="1" applyBorder="1" applyAlignment="1">
      <alignment horizontal="right" vertical="center" wrapText="1" readingOrder="1"/>
    </xf>
    <xf numFmtId="9" fontId="5" fillId="0" borderId="5" xfId="0" applyNumberFormat="1" applyFont="1" applyBorder="1" applyAlignment="1">
      <alignment horizontal="right" vertical="center" wrapText="1" readingOrder="1"/>
    </xf>
    <xf numFmtId="10" fontId="0" fillId="0" borderId="1" xfId="0" applyNumberFormat="1" applyBorder="1" applyAlignment="1">
      <alignment vertical="center"/>
    </xf>
    <xf numFmtId="9" fontId="5" fillId="0" borderId="4" xfId="0" applyNumberFormat="1" applyFont="1" applyBorder="1" applyAlignment="1">
      <alignment horizontal="right" vertical="center" wrapText="1" readingOrder="1"/>
    </xf>
    <xf numFmtId="0" fontId="6" fillId="0" borderId="1" xfId="0" applyFont="1" applyBorder="1"/>
    <xf numFmtId="0" fontId="6" fillId="0" borderId="1" xfId="0" applyFont="1" applyBorder="1" applyAlignment="1">
      <alignment horizontal="center"/>
    </xf>
    <xf numFmtId="0" fontId="6" fillId="0" borderId="2" xfId="0" applyFont="1" applyBorder="1" applyAlignment="1">
      <alignment vertical="center"/>
    </xf>
    <xf numFmtId="0" fontId="6" fillId="0" borderId="1" xfId="0" applyFont="1" applyBorder="1" applyAlignment="1">
      <alignment vertical="center"/>
    </xf>
    <xf numFmtId="0" fontId="6" fillId="0" borderId="0" xfId="0" applyFont="1"/>
    <xf numFmtId="0" fontId="6" fillId="0" borderId="0" xfId="0" applyFont="1" applyAlignment="1">
      <alignment horizontal="center"/>
    </xf>
    <xf numFmtId="17" fontId="6" fillId="0" borderId="1" xfId="0" applyNumberFormat="1" applyFont="1" applyBorder="1"/>
    <xf numFmtId="0" fontId="7" fillId="2" borderId="1" xfId="0" applyFont="1" applyFill="1" applyBorder="1" applyAlignment="1">
      <alignment horizontal="center"/>
    </xf>
    <xf numFmtId="17" fontId="7" fillId="2" borderId="1" xfId="0" applyNumberFormat="1" applyFont="1" applyFill="1" applyBorder="1" applyAlignment="1">
      <alignment horizontal="center"/>
    </xf>
    <xf numFmtId="0" fontId="8" fillId="3" borderId="1" xfId="0" applyFont="1" applyFill="1" applyBorder="1" applyAlignment="1">
      <alignment horizontal="center" readingOrder="1"/>
    </xf>
    <xf numFmtId="0" fontId="8" fillId="3" borderId="7" xfId="0" applyFont="1" applyFill="1" applyBorder="1" applyAlignment="1">
      <alignment horizontal="center" readingOrder="1"/>
    </xf>
    <xf numFmtId="10" fontId="9" fillId="0" borderId="1" xfId="0" applyNumberFormat="1" applyFont="1" applyBorder="1" applyAlignment="1">
      <alignment horizontal="center" readingOrder="1"/>
    </xf>
    <xf numFmtId="17" fontId="8" fillId="3" borderId="1" xfId="0" applyNumberFormat="1" applyFont="1" applyFill="1" applyBorder="1" applyAlignment="1">
      <alignment horizontal="center" readingOrder="1"/>
    </xf>
    <xf numFmtId="0" fontId="10" fillId="0" borderId="1" xfId="0" applyFont="1" applyBorder="1"/>
    <xf numFmtId="0" fontId="11" fillId="0" borderId="0" xfId="0" applyFont="1"/>
    <xf numFmtId="0" fontId="11" fillId="0" borderId="1" xfId="0" applyFont="1" applyBorder="1"/>
    <xf numFmtId="10" fontId="11" fillId="0" borderId="1" xfId="0" applyNumberFormat="1" applyFont="1" applyBorder="1"/>
    <xf numFmtId="9" fontId="11" fillId="0" borderId="1" xfId="0" applyNumberFormat="1" applyFont="1" applyBorder="1"/>
    <xf numFmtId="0" fontId="12" fillId="4" borderId="1" xfId="0" applyFont="1" applyFill="1" applyBorder="1"/>
    <xf numFmtId="17" fontId="12" fillId="4" borderId="1" xfId="0" applyNumberFormat="1" applyFont="1" applyFill="1" applyBorder="1"/>
    <xf numFmtId="0" fontId="6" fillId="0" borderId="1" xfId="0" applyFont="1" applyBorder="1" applyAlignment="1">
      <alignment horizontal="left"/>
    </xf>
    <xf numFmtId="0" fontId="6" fillId="0" borderId="8" xfId="0" applyFont="1" applyBorder="1"/>
    <xf numFmtId="0" fontId="13" fillId="0" borderId="1" xfId="0" applyFont="1" applyBorder="1" applyAlignment="1">
      <alignment horizontal="center" vertical="center" wrapText="1"/>
    </xf>
    <xf numFmtId="0" fontId="14" fillId="5" borderId="1" xfId="0" applyFont="1" applyFill="1" applyBorder="1" applyAlignment="1">
      <alignment wrapText="1"/>
    </xf>
    <xf numFmtId="9" fontId="5" fillId="0" borderId="1" xfId="0" applyNumberFormat="1" applyFont="1" applyBorder="1" applyAlignment="1">
      <alignment horizontal="center" vertical="center" wrapText="1" readingOrder="1"/>
    </xf>
    <xf numFmtId="0" fontId="5" fillId="5" borderId="1" xfId="0" applyFont="1" applyFill="1" applyBorder="1" applyAlignment="1">
      <alignment vertical="center" wrapText="1"/>
    </xf>
    <xf numFmtId="9" fontId="6" fillId="0" borderId="1" xfId="0" applyNumberFormat="1" applyFont="1" applyBorder="1" applyAlignment="1">
      <alignment horizontal="center"/>
    </xf>
    <xf numFmtId="0" fontId="12" fillId="4" borderId="2" xfId="0" applyFont="1" applyFill="1" applyBorder="1"/>
    <xf numFmtId="0" fontId="4" fillId="0" borderId="1" xfId="0" applyFont="1" applyBorder="1"/>
    <xf numFmtId="0" fontId="16" fillId="0" borderId="1" xfId="0" applyFont="1" applyBorder="1"/>
    <xf numFmtId="0" fontId="15" fillId="6" borderId="1" xfId="0" applyFont="1" applyFill="1" applyBorder="1" applyAlignment="1">
      <alignment horizontal="center" vertical="center"/>
    </xf>
    <xf numFmtId="0" fontId="0" fillId="0" borderId="9" xfId="0" applyBorder="1" applyAlignment="1">
      <alignment horizontal="center"/>
    </xf>
    <xf numFmtId="0" fontId="0" fillId="0" borderId="1" xfId="0" applyBorder="1" applyAlignment="1">
      <alignment horizontal="center"/>
    </xf>
    <xf numFmtId="17" fontId="6" fillId="0" borderId="1" xfId="0" applyNumberFormat="1" applyFont="1" applyBorder="1" applyAlignment="1">
      <alignment horizontal="center"/>
    </xf>
    <xf numFmtId="9" fontId="11" fillId="0" borderId="1" xfId="0" applyNumberFormat="1" applyFont="1" applyBorder="1" applyAlignment="1">
      <alignment horizontal="center"/>
    </xf>
    <xf numFmtId="10" fontId="11" fillId="0" borderId="1" xfId="0" applyNumberFormat="1" applyFont="1" applyBorder="1" applyAlignment="1">
      <alignment horizontal="center"/>
    </xf>
    <xf numFmtId="0" fontId="17" fillId="4" borderId="1" xfId="0" applyFont="1" applyFill="1" applyBorder="1" applyAlignment="1">
      <alignment horizontal="center"/>
    </xf>
    <xf numFmtId="17" fontId="17" fillId="4" borderId="1" xfId="0" applyNumberFormat="1" applyFont="1" applyFill="1" applyBorder="1" applyAlignment="1">
      <alignment horizontal="center"/>
    </xf>
    <xf numFmtId="9" fontId="5" fillId="0" borderId="6" xfId="0" applyNumberFormat="1" applyFont="1" applyBorder="1" applyAlignment="1">
      <alignment horizontal="right" vertical="center" wrapText="1" readingOrder="1"/>
    </xf>
    <xf numFmtId="9" fontId="5" fillId="0" borderId="1" xfId="0" applyNumberFormat="1" applyFont="1" applyBorder="1" applyAlignment="1">
      <alignment horizontal="right" vertical="center" wrapText="1" readingOrder="1"/>
    </xf>
    <xf numFmtId="10" fontId="6" fillId="0" borderId="1" xfId="0" applyNumberFormat="1" applyFont="1" applyBorder="1" applyAlignment="1">
      <alignment horizontal="center"/>
    </xf>
    <xf numFmtId="9" fontId="0" fillId="8" borderId="1" xfId="0" applyNumberFormat="1" applyFill="1" applyBorder="1" applyAlignment="1">
      <alignment vertical="center"/>
    </xf>
    <xf numFmtId="9" fontId="0" fillId="0" borderId="9" xfId="0" applyNumberFormat="1" applyBorder="1" applyAlignment="1">
      <alignment vertical="center"/>
    </xf>
    <xf numFmtId="9" fontId="5" fillId="0" borderId="12" xfId="0" applyNumberFormat="1" applyFont="1" applyBorder="1" applyAlignment="1">
      <alignment horizontal="right" vertical="center" wrapText="1" readingOrder="1"/>
    </xf>
    <xf numFmtId="9" fontId="5" fillId="0" borderId="9" xfId="0" applyNumberFormat="1" applyFont="1" applyBorder="1" applyAlignment="1">
      <alignment horizontal="right" vertical="center" wrapText="1" readingOrder="1"/>
    </xf>
    <xf numFmtId="9" fontId="0" fillId="0" borderId="1" xfId="0" applyNumberFormat="1" applyBorder="1" applyAlignment="1">
      <alignment horizontal="center" vertical="center"/>
    </xf>
    <xf numFmtId="17" fontId="1" fillId="2" borderId="1" xfId="0" applyNumberFormat="1" applyFont="1" applyFill="1" applyBorder="1" applyAlignment="1">
      <alignment horizontal="center"/>
    </xf>
    <xf numFmtId="10" fontId="0" fillId="0" borderId="1" xfId="0" applyNumberFormat="1" applyBorder="1" applyAlignment="1">
      <alignment horizontal="center"/>
    </xf>
    <xf numFmtId="164" fontId="5" fillId="0" borderId="1" xfId="0" applyNumberFormat="1" applyFont="1" applyBorder="1" applyAlignment="1">
      <alignment horizontal="center" vertical="center" wrapText="1" readingOrder="1"/>
    </xf>
    <xf numFmtId="164" fontId="6" fillId="0" borderId="1" xfId="0" applyNumberFormat="1" applyFont="1" applyBorder="1" applyAlignment="1">
      <alignment horizontal="center"/>
    </xf>
    <xf numFmtId="164" fontId="6" fillId="0" borderId="0" xfId="0" applyNumberFormat="1" applyFont="1" applyAlignment="1">
      <alignment horizontal="center"/>
    </xf>
    <xf numFmtId="10" fontId="6" fillId="0" borderId="0" xfId="0" applyNumberFormat="1" applyFont="1"/>
    <xf numFmtId="17" fontId="12" fillId="4" borderId="2" xfId="0" applyNumberFormat="1" applyFont="1" applyFill="1" applyBorder="1"/>
    <xf numFmtId="0" fontId="11" fillId="0" borderId="1" xfId="0" applyFont="1" applyBorder="1" applyAlignment="1">
      <alignment horizontal="center" vertical="center" wrapText="1"/>
    </xf>
    <xf numFmtId="0" fontId="15" fillId="6" borderId="1"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1" fillId="7" borderId="1" xfId="0" applyFont="1" applyFill="1" applyBorder="1" applyAlignment="1">
      <alignment horizontal="center" vertical="center" wrapText="1"/>
    </xf>
    <xf numFmtId="17" fontId="12" fillId="4" borderId="2" xfId="0" applyNumberFormat="1" applyFont="1" applyFill="1" applyBorder="1" applyAlignment="1">
      <alignment horizontal="center"/>
    </xf>
    <xf numFmtId="0" fontId="6" fillId="0" borderId="0" xfId="0" applyFont="1" applyAlignment="1">
      <alignment horizontal="left"/>
    </xf>
    <xf numFmtId="0" fontId="6" fillId="0" borderId="0" xfId="0" applyFont="1" applyAlignment="1">
      <alignment horizontal="right"/>
    </xf>
    <xf numFmtId="0" fontId="18" fillId="0" borderId="1" xfId="0" applyFont="1" applyBorder="1"/>
    <xf numFmtId="0" fontId="2" fillId="2" borderId="10" xfId="0" applyFont="1" applyFill="1" applyBorder="1" applyAlignment="1">
      <alignment horizontal="center"/>
    </xf>
    <xf numFmtId="0" fontId="2" fillId="2" borderId="11" xfId="0" applyFont="1" applyFill="1" applyBorder="1" applyAlignment="1">
      <alignment horizontal="center"/>
    </xf>
    <xf numFmtId="0" fontId="15" fillId="4" borderId="10" xfId="0" applyFont="1" applyFill="1" applyBorder="1" applyAlignment="1">
      <alignment horizontal="center"/>
    </xf>
    <xf numFmtId="0" fontId="15" fillId="4"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Historico</a:t>
            </a:r>
          </a:p>
        </c:rich>
      </c:tx>
      <c:layout>
        <c:manualLayout>
          <c:xMode val="edge"/>
          <c:yMode val="edge"/>
          <c:x val="0.41174999999999995"/>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Casos!$B$27</c:f>
              <c:strCache>
                <c:ptCount val="1"/>
                <c:pt idx="0">
                  <c:v>ALERTAS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Casos!$S$26:$U$26</c:f>
              <c:numCache>
                <c:formatCode>mmm\-yy</c:formatCode>
                <c:ptCount val="3"/>
                <c:pt idx="0">
                  <c:v>46113</c:v>
                </c:pt>
                <c:pt idx="1">
                  <c:v>46143</c:v>
                </c:pt>
                <c:pt idx="2">
                  <c:v>46174</c:v>
                </c:pt>
              </c:numCache>
            </c:numRef>
          </c:cat>
          <c:val>
            <c:numRef>
              <c:f>Casos!$S$27:$U$27</c:f>
              <c:numCache>
                <c:formatCode>General</c:formatCode>
                <c:ptCount val="3"/>
                <c:pt idx="0">
                  <c:v>54</c:v>
                </c:pt>
                <c:pt idx="1">
                  <c:v>30</c:v>
                </c:pt>
                <c:pt idx="2">
                  <c:v>49</c:v>
                </c:pt>
              </c:numCache>
            </c:numRef>
          </c:val>
          <c:extLst>
            <c:ext xmlns:c16="http://schemas.microsoft.com/office/drawing/2014/chart" uri="{C3380CC4-5D6E-409C-BE32-E72D297353CC}">
              <c16:uniqueId val="{00000000-13E1-4FE6-ADF8-9545B44B07BB}"/>
            </c:ext>
          </c:extLst>
        </c:ser>
        <c:ser>
          <c:idx val="1"/>
          <c:order val="1"/>
          <c:tx>
            <c:strRef>
              <c:f>Casos!$B$28</c:f>
              <c:strCache>
                <c:ptCount val="1"/>
                <c:pt idx="0">
                  <c:v>REQUERIMIENTOS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Casos!$S$26:$U$26</c:f>
              <c:numCache>
                <c:formatCode>mmm\-yy</c:formatCode>
                <c:ptCount val="3"/>
                <c:pt idx="0">
                  <c:v>46113</c:v>
                </c:pt>
                <c:pt idx="1">
                  <c:v>46143</c:v>
                </c:pt>
                <c:pt idx="2">
                  <c:v>46174</c:v>
                </c:pt>
              </c:numCache>
            </c:numRef>
          </c:cat>
          <c:val>
            <c:numRef>
              <c:f>Casos!$S$28:$U$28</c:f>
              <c:numCache>
                <c:formatCode>General</c:formatCode>
                <c:ptCount val="3"/>
                <c:pt idx="0">
                  <c:v>3</c:v>
                </c:pt>
                <c:pt idx="1">
                  <c:v>5</c:v>
                </c:pt>
                <c:pt idx="2">
                  <c:v>0</c:v>
                </c:pt>
              </c:numCache>
            </c:numRef>
          </c:val>
          <c:extLst>
            <c:ext xmlns:c16="http://schemas.microsoft.com/office/drawing/2014/chart" uri="{C3380CC4-5D6E-409C-BE32-E72D297353CC}">
              <c16:uniqueId val="{00000001-13E1-4FE6-ADF8-9545B44B07BB}"/>
            </c:ext>
          </c:extLst>
        </c:ser>
        <c:ser>
          <c:idx val="2"/>
          <c:order val="2"/>
          <c:tx>
            <c:strRef>
              <c:f>Casos!$B$29</c:f>
              <c:strCache>
                <c:ptCount val="1"/>
                <c:pt idx="0">
                  <c:v>INCIDENTES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Casos!$S$26:$U$26</c:f>
              <c:numCache>
                <c:formatCode>mmm\-yy</c:formatCode>
                <c:ptCount val="3"/>
                <c:pt idx="0">
                  <c:v>46113</c:v>
                </c:pt>
                <c:pt idx="1">
                  <c:v>46143</c:v>
                </c:pt>
                <c:pt idx="2">
                  <c:v>46174</c:v>
                </c:pt>
              </c:numCache>
            </c:numRef>
          </c:cat>
          <c:val>
            <c:numRef>
              <c:f>Casos!$S$29:$U$29</c:f>
              <c:numCache>
                <c:formatCode>General</c:formatCode>
                <c:ptCount val="3"/>
                <c:pt idx="0">
                  <c:v>1</c:v>
                </c:pt>
                <c:pt idx="1">
                  <c:v>0</c:v>
                </c:pt>
                <c:pt idx="2">
                  <c:v>0</c:v>
                </c:pt>
              </c:numCache>
            </c:numRef>
          </c:val>
          <c:extLst>
            <c:ext xmlns:c16="http://schemas.microsoft.com/office/drawing/2014/chart" uri="{C3380CC4-5D6E-409C-BE32-E72D297353CC}">
              <c16:uniqueId val="{00000002-13E1-4FE6-ADF8-9545B44B07BB}"/>
            </c:ext>
          </c:extLst>
        </c:ser>
        <c:dLbls>
          <c:dLblPos val="outEnd"/>
          <c:showLegendKey val="0"/>
          <c:showVal val="1"/>
          <c:showCatName val="0"/>
          <c:showSerName val="0"/>
          <c:showPercent val="0"/>
          <c:showBubbleSize val="0"/>
        </c:dLbls>
        <c:gapWidth val="219"/>
        <c:overlap val="-27"/>
        <c:axId val="1137849503"/>
        <c:axId val="1137845663"/>
      </c:barChart>
      <c:dateAx>
        <c:axId val="113784950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37845663"/>
        <c:crosses val="autoZero"/>
        <c:auto val="1"/>
        <c:lblOffset val="100"/>
        <c:baseTimeUnit val="months"/>
      </c:dateAx>
      <c:valAx>
        <c:axId val="113784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37849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1"/>
              <a:t>Alertas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Casos!$B$3</c:f>
              <c:strCache>
                <c:ptCount val="1"/>
                <c:pt idx="0">
                  <c:v> Bloqueos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Casos!$C$3:$F$3</c:f>
              <c:numCache>
                <c:formatCode>General</c:formatCode>
                <c:ptCount val="1"/>
                <c:pt idx="0">
                  <c:v>0</c:v>
                </c:pt>
              </c:numCache>
            </c:numRef>
          </c:val>
          <c:extLst>
            <c:ext xmlns:c16="http://schemas.microsoft.com/office/drawing/2014/chart" uri="{C3380CC4-5D6E-409C-BE32-E72D297353CC}">
              <c16:uniqueId val="{00000000-B9A2-4E2A-9CB2-0EB139CB1DC0}"/>
            </c:ext>
          </c:extLst>
        </c:ser>
        <c:ser>
          <c:idx val="2"/>
          <c:order val="2"/>
          <c:tx>
            <c:strRef>
              <c:f>Casos!$B$5</c:f>
              <c:strCache>
                <c:ptCount val="1"/>
                <c:pt idx="0">
                  <c:v> Generar backup / Restaurar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Casos!$C$5:$F$5</c:f>
              <c:numCache>
                <c:formatCode>General</c:formatCode>
                <c:ptCount val="1"/>
                <c:pt idx="0">
                  <c:v>0</c:v>
                </c:pt>
              </c:numCache>
            </c:numRef>
          </c:val>
          <c:extLst xmlns:c15="http://schemas.microsoft.com/office/drawing/2012/chart">
            <c:ext xmlns:c16="http://schemas.microsoft.com/office/drawing/2014/chart" uri="{C3380CC4-5D6E-409C-BE32-E72D297353CC}">
              <c16:uniqueId val="{00000002-B9A2-4E2A-9CB2-0EB139CB1DC0}"/>
            </c:ext>
          </c:extLst>
        </c:ser>
        <c:ser>
          <c:idx val="4"/>
          <c:order val="4"/>
          <c:tx>
            <c:strRef>
              <c:f>Casos!$B$7</c:f>
              <c:strCache>
                <c:ptCount val="1"/>
                <c:pt idx="0">
                  <c:v>Objetosdesc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Casos!$C$7:$F$7</c:f>
              <c:numCache>
                <c:formatCode>General</c:formatCode>
                <c:ptCount val="1"/>
                <c:pt idx="0">
                  <c:v>0</c:v>
                </c:pt>
              </c:numCache>
            </c:numRef>
          </c:val>
          <c:extLst>
            <c:ext xmlns:c16="http://schemas.microsoft.com/office/drawing/2014/chart" uri="{C3380CC4-5D6E-409C-BE32-E72D297353CC}">
              <c16:uniqueId val="{00000004-B9A2-4E2A-9CB2-0EB139CB1DC0}"/>
            </c:ext>
          </c:extLst>
        </c:ser>
        <c:ser>
          <c:idx val="6"/>
          <c:order val="6"/>
          <c:tx>
            <c:strRef>
              <c:f>Casos!$B$9</c:f>
              <c:strCache>
                <c:ptCount val="1"/>
                <c:pt idx="0">
                  <c:v>Produccion Fs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Casos!$C$9:$F$9</c:f>
              <c:numCache>
                <c:formatCode>General</c:formatCode>
                <c:ptCount val="1"/>
                <c:pt idx="0">
                  <c:v>0</c:v>
                </c:pt>
              </c:numCache>
            </c:numRef>
          </c:val>
          <c:extLst>
            <c:ext xmlns:c16="http://schemas.microsoft.com/office/drawing/2014/chart" uri="{C3380CC4-5D6E-409C-BE32-E72D297353CC}">
              <c16:uniqueId val="{00000006-B9A2-4E2A-9CB2-0EB139CB1DC0}"/>
            </c:ext>
          </c:extLst>
        </c:ser>
        <c:ser>
          <c:idx val="1"/>
          <c:order val="1"/>
          <c:tx>
            <c:strRef>
              <c:f>Casos!$B$4</c:f>
              <c:strCache>
                <c:ptCount val="1"/>
                <c:pt idx="0">
                  <c:v> Crear Base de datos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Casos!$C$4:$F$4</c:f>
            </c:numRef>
          </c:val>
          <c:extLst>
            <c:ext xmlns:c16="http://schemas.microsoft.com/office/drawing/2014/chart" uri="{C3380CC4-5D6E-409C-BE32-E72D297353CC}">
              <c16:uniqueId val="{00000001-B9A2-4E2A-9CB2-0EB139CB1DC0}"/>
            </c:ext>
          </c:extLst>
        </c:ser>
        <c:ser>
          <c:idx val="7"/>
          <c:order val="7"/>
          <c:tx>
            <c:strRef>
              <c:f>Casos!$B$10</c:f>
              <c:strCache>
                <c:ptCount val="1"/>
                <c:pt idx="0">
                  <c:v> Revision Bloqueos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Casos!$C$10:$F$10</c:f>
            </c:numRef>
          </c:val>
          <c:extLst>
            <c:ext xmlns:c16="http://schemas.microsoft.com/office/drawing/2014/chart" uri="{C3380CC4-5D6E-409C-BE32-E72D297353CC}">
              <c16:uniqueId val="{00000000-A4AF-4553-A67B-0416891804C9}"/>
            </c:ext>
          </c:extLst>
        </c:ser>
        <c:ser>
          <c:idx val="8"/>
          <c:order val="8"/>
          <c:tx>
            <c:strRef>
              <c:f>Casos!$B$11</c:f>
              <c:strCache>
                <c:ptCount val="1"/>
                <c:pt idx="0">
                  <c:v> Solicitud de servicio</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Casos!$C$11:$F$11</c:f>
            </c:numRef>
          </c:val>
          <c:extLst>
            <c:ext xmlns:c16="http://schemas.microsoft.com/office/drawing/2014/chart" uri="{C3380CC4-5D6E-409C-BE32-E72D297353CC}">
              <c16:uniqueId val="{00000001-A4AF-4553-A67B-0416891804C9}"/>
            </c:ext>
          </c:extLst>
        </c:ser>
        <c:ser>
          <c:idx val="9"/>
          <c:order val="9"/>
          <c:tx>
            <c:strRef>
              <c:f>Casos!$B$12</c:f>
              <c:strCache>
                <c:ptCount val="1"/>
                <c:pt idx="0">
                  <c:v>Conexiones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Casos!$C$12:$F$12</c:f>
              <c:numCache>
                <c:formatCode>General</c:formatCode>
                <c:ptCount val="1"/>
                <c:pt idx="0">
                  <c:v>0</c:v>
                </c:pt>
              </c:numCache>
            </c:numRef>
          </c:val>
          <c:extLst>
            <c:ext xmlns:c16="http://schemas.microsoft.com/office/drawing/2014/chart" uri="{C3380CC4-5D6E-409C-BE32-E72D297353CC}">
              <c16:uniqueId val="{00000002-A4AF-4553-A67B-0416891804C9}"/>
            </c:ext>
          </c:extLst>
        </c:ser>
        <c:ser>
          <c:idx val="10"/>
          <c:order val="10"/>
          <c:tx>
            <c:strRef>
              <c:f>Casos!$B$13</c:f>
              <c:strCache>
                <c:ptCount val="1"/>
                <c:pt idx="0">
                  <c:v>PGA</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Casos!$C$13:$F$13</c:f>
              <c:numCache>
                <c:formatCode>General</c:formatCode>
                <c:ptCount val="1"/>
                <c:pt idx="0">
                  <c:v>0</c:v>
                </c:pt>
              </c:numCache>
            </c:numRef>
          </c:val>
          <c:extLst>
            <c:ext xmlns:c16="http://schemas.microsoft.com/office/drawing/2014/chart" uri="{C3380CC4-5D6E-409C-BE32-E72D297353CC}">
              <c16:uniqueId val="{00000003-A4AF-4553-A67B-0416891804C9}"/>
            </c:ext>
          </c:extLst>
        </c:ser>
        <c:ser>
          <c:idx val="11"/>
          <c:order val="11"/>
          <c:tx>
            <c:strRef>
              <c:f>Casos!$B$14</c:f>
              <c:strCache>
                <c:ptCount val="1"/>
                <c:pt idx="0">
                  <c:v>Extends Disponibles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Casos!$C$14:$F$14</c:f>
              <c:numCache>
                <c:formatCode>General</c:formatCode>
                <c:ptCount val="1"/>
                <c:pt idx="0">
                  <c:v>0</c:v>
                </c:pt>
              </c:numCache>
            </c:numRef>
          </c:val>
          <c:extLst>
            <c:ext xmlns:c16="http://schemas.microsoft.com/office/drawing/2014/chart" uri="{C3380CC4-5D6E-409C-BE32-E72D297353CC}">
              <c16:uniqueId val="{00000004-A4AF-4553-A67B-0416891804C9}"/>
            </c:ext>
          </c:extLst>
        </c:ser>
        <c:ser>
          <c:idx val="12"/>
          <c:order val="12"/>
          <c:tx>
            <c:strRef>
              <c:f>Casos!$B$15</c:f>
              <c:strCache>
                <c:ptCount val="1"/>
                <c:pt idx="0">
                  <c:v>Statistics (Oracle)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Casos!$C$15:$F$15</c:f>
              <c:numCache>
                <c:formatCode>General</c:formatCode>
                <c:ptCount val="1"/>
                <c:pt idx="0">
                  <c:v>0</c:v>
                </c:pt>
              </c:numCache>
            </c:numRef>
          </c:val>
          <c:extLst>
            <c:ext xmlns:c16="http://schemas.microsoft.com/office/drawing/2014/chart" uri="{C3380CC4-5D6E-409C-BE32-E72D297353CC}">
              <c16:uniqueId val="{00000005-A4AF-4553-A67B-0416891804C9}"/>
            </c:ext>
          </c:extLst>
        </c:ser>
        <c:ser>
          <c:idx val="13"/>
          <c:order val="13"/>
          <c:tx>
            <c:strRef>
              <c:f>Casos!$B$16</c:f>
              <c:strCache>
                <c:ptCount val="1"/>
                <c:pt idx="0">
                  <c:v>SGA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Casos!$C$16:$F$16</c:f>
              <c:numCache>
                <c:formatCode>General</c:formatCode>
                <c:ptCount val="1"/>
                <c:pt idx="0">
                  <c:v>0</c:v>
                </c:pt>
              </c:numCache>
            </c:numRef>
          </c:val>
          <c:extLst>
            <c:ext xmlns:c16="http://schemas.microsoft.com/office/drawing/2014/chart" uri="{C3380CC4-5D6E-409C-BE32-E72D297353CC}">
              <c16:uniqueId val="{00000006-A4AF-4553-A67B-0416891804C9}"/>
            </c:ext>
          </c:extLst>
        </c:ser>
        <c:ser>
          <c:idx val="14"/>
          <c:order val="14"/>
          <c:tx>
            <c:strRef>
              <c:f>Casos!$B$17</c:f>
              <c:strCache>
                <c:ptCount val="1"/>
                <c:pt idx="0">
                  <c:v>Errors in Alert</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Casos!$C$17:$F$17</c:f>
              <c:numCache>
                <c:formatCode>General</c:formatCode>
                <c:ptCount val="1"/>
                <c:pt idx="0">
                  <c:v>0</c:v>
                </c:pt>
              </c:numCache>
            </c:numRef>
          </c:val>
          <c:extLst>
            <c:ext xmlns:c16="http://schemas.microsoft.com/office/drawing/2014/chart" uri="{C3380CC4-5D6E-409C-BE32-E72D297353CC}">
              <c16:uniqueId val="{00000007-A4AF-4553-A67B-0416891804C9}"/>
            </c:ext>
          </c:extLst>
        </c:ser>
        <c:ser>
          <c:idx val="15"/>
          <c:order val="15"/>
          <c:tx>
            <c:strRef>
              <c:f>Casos!$B$18</c:f>
              <c:strCache>
                <c:ptCount val="1"/>
                <c:pt idx="0">
                  <c:v>SQL Server FailedJobs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Casos!$C$18:$F$18</c:f>
              <c:numCache>
                <c:formatCode>General</c:formatCode>
                <c:ptCount val="1"/>
                <c:pt idx="0">
                  <c:v>0</c:v>
                </c:pt>
              </c:numCache>
            </c:numRef>
          </c:val>
          <c:extLst>
            <c:ext xmlns:c16="http://schemas.microsoft.com/office/drawing/2014/chart" uri="{C3380CC4-5D6E-409C-BE32-E72D297353CC}">
              <c16:uniqueId val="{00000008-A4AF-4553-A67B-0416891804C9}"/>
            </c:ext>
          </c:extLst>
        </c:ser>
        <c:ser>
          <c:idx val="16"/>
          <c:order val="16"/>
          <c:tx>
            <c:strRef>
              <c:f>Casos!$B$19</c:f>
              <c:strCache>
                <c:ptCount val="1"/>
                <c:pt idx="0">
                  <c:v>SQL Server Statistics</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Casos!$C$19:$F$19</c:f>
              <c:numCache>
                <c:formatCode>General</c:formatCode>
                <c:ptCount val="1"/>
                <c:pt idx="0">
                  <c:v>0</c:v>
                </c:pt>
              </c:numCache>
            </c:numRef>
          </c:val>
          <c:extLst>
            <c:ext xmlns:c16="http://schemas.microsoft.com/office/drawing/2014/chart" uri="{C3380CC4-5D6E-409C-BE32-E72D297353CC}">
              <c16:uniqueId val="{00000009-A4AF-4553-A67B-0416891804C9}"/>
            </c:ext>
          </c:extLst>
        </c:ser>
        <c:ser>
          <c:idx val="17"/>
          <c:order val="17"/>
          <c:tx>
            <c:strRef>
              <c:f>Casos!$B$20</c:f>
              <c:strCache>
                <c:ptCount val="1"/>
                <c:pt idx="0">
                  <c:v>Alertas</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Casos!$C$2:$F$2</c:f>
              <c:strCache>
                <c:ptCount val="1"/>
                <c:pt idx="0">
                  <c:v>ABR</c:v>
                </c:pt>
              </c:strCache>
            </c:strRef>
          </c:cat>
          <c:val>
            <c:numRef>
              <c:f>Casos!$C$20:$F$20</c:f>
              <c:numCache>
                <c:formatCode>General</c:formatCode>
                <c:ptCount val="1"/>
                <c:pt idx="0">
                  <c:v>30</c:v>
                </c:pt>
              </c:numCache>
            </c:numRef>
          </c:val>
          <c:extLst>
            <c:ext xmlns:c16="http://schemas.microsoft.com/office/drawing/2014/chart" uri="{C3380CC4-5D6E-409C-BE32-E72D297353CC}">
              <c16:uniqueId val="{00000000-C854-4CF7-9A6B-AEC2F69F6F08}"/>
            </c:ext>
          </c:extLst>
        </c:ser>
        <c:dLbls>
          <c:dLblPos val="outEnd"/>
          <c:showLegendKey val="0"/>
          <c:showVal val="1"/>
          <c:showCatName val="0"/>
          <c:showSerName val="0"/>
          <c:showPercent val="0"/>
          <c:showBubbleSize val="0"/>
        </c:dLbls>
        <c:gapWidth val="219"/>
        <c:overlap val="-27"/>
        <c:axId val="763285375"/>
        <c:axId val="763278175"/>
        <c:extLst>
          <c:ext xmlns:c15="http://schemas.microsoft.com/office/drawing/2012/chart" uri="{02D57815-91ED-43cb-92C2-25804820EDAC}">
            <c15:filteredBarSeries>
              <c15:ser>
                <c:idx val="3"/>
                <c:order val="3"/>
                <c:tx>
                  <c:strRef>
                    <c:extLst>
                      <c:ext uri="{02D57815-91ED-43cb-92C2-25804820EDAC}">
                        <c15:formulaRef>
                          <c15:sqref>Casos!$B$6</c15:sqref>
                        </c15:formulaRef>
                      </c:ext>
                    </c:extLst>
                    <c:strCache>
                      <c:ptCount val="1"/>
                      <c:pt idx="0">
                        <c:v>Indices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Casos!$C$2:$F$2</c15:sqref>
                        </c15:formulaRef>
                      </c:ext>
                    </c:extLst>
                    <c:strCache>
                      <c:ptCount val="1"/>
                      <c:pt idx="0">
                        <c:v>ABR</c:v>
                      </c:pt>
                    </c:strCache>
                  </c:strRef>
                </c:cat>
                <c:val>
                  <c:numRef>
                    <c:extLst>
                      <c:ext uri="{02D57815-91ED-43cb-92C2-25804820EDAC}">
                        <c15:formulaRef>
                          <c15:sqref>Casos!$C$6:$F$6</c15:sqref>
                        </c15:formulaRef>
                      </c:ext>
                    </c:extLst>
                    <c:numCache>
                      <c:formatCode>General</c:formatCode>
                      <c:ptCount val="1"/>
                      <c:pt idx="0">
                        <c:v>0</c:v>
                      </c:pt>
                    </c:numCache>
                  </c:numRef>
                </c:val>
                <c:extLst>
                  <c:ext xmlns:c16="http://schemas.microsoft.com/office/drawing/2014/chart" uri="{C3380CC4-5D6E-409C-BE32-E72D297353CC}">
                    <c16:uniqueId val="{00000003-B9A2-4E2A-9CB2-0EB139CB1DC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Casos!$B$8</c15:sqref>
                        </c15:formulaRef>
                      </c:ext>
                    </c:extLst>
                    <c:strCache>
                      <c:ptCount val="1"/>
                      <c:pt idx="0">
                        <c:v>Procesos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Casos!$C$2:$F$2</c15:sqref>
                        </c15:formulaRef>
                      </c:ext>
                    </c:extLst>
                    <c:strCache>
                      <c:ptCount val="1"/>
                      <c:pt idx="0">
                        <c:v>ABR</c:v>
                      </c:pt>
                    </c:strCache>
                  </c:strRef>
                </c:cat>
                <c:val>
                  <c:numRef>
                    <c:extLst xmlns:c15="http://schemas.microsoft.com/office/drawing/2012/chart">
                      <c:ext xmlns:c15="http://schemas.microsoft.com/office/drawing/2012/chart" uri="{02D57815-91ED-43cb-92C2-25804820EDAC}">
                        <c15:formulaRef>
                          <c15:sqref>Casos!$C$8:$F$8</c15:sqref>
                        </c15:formulaRef>
                      </c:ext>
                    </c:extLst>
                    <c:numCache>
                      <c:formatCode>General</c:formatCode>
                      <c:ptCount val="1"/>
                      <c:pt idx="0">
                        <c:v>0</c:v>
                      </c:pt>
                    </c:numCache>
                  </c:numRef>
                </c:val>
                <c:extLst xmlns:c15="http://schemas.microsoft.com/office/drawing/2012/chart">
                  <c:ext xmlns:c16="http://schemas.microsoft.com/office/drawing/2014/chart" uri="{C3380CC4-5D6E-409C-BE32-E72D297353CC}">
                    <c16:uniqueId val="{00000005-B9A2-4E2A-9CB2-0EB139CB1DC0}"/>
                  </c:ext>
                </c:extLst>
              </c15:ser>
            </c15:filteredBarSeries>
          </c:ext>
        </c:extLst>
      </c:barChart>
      <c:catAx>
        <c:axId val="76328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63278175"/>
        <c:crosses val="autoZero"/>
        <c:auto val="1"/>
        <c:lblAlgn val="ctr"/>
        <c:lblOffset val="100"/>
        <c:noMultiLvlLbl val="0"/>
      </c:catAx>
      <c:valAx>
        <c:axId val="76327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6328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Disponibilidad y Gestión</a:t>
            </a:r>
          </a:p>
        </c:rich>
      </c:tx>
      <c:layout>
        <c:manualLayout>
          <c:xMode val="edge"/>
          <c:yMode val="edge"/>
          <c:x val="0.324742396027312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'Grafica Dispo y Gestion'!$B$14</c:f>
              <c:strCache>
                <c:ptCount val="1"/>
                <c:pt idx="0">
                  <c:v>SQL</c:v>
                </c:pt>
              </c:strCache>
            </c:strRef>
          </c:tx>
          <c:spPr>
            <a:solidFill>
              <a:schemeClr val="accent1"/>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Gestion'!$J$14:$S$14</c:f>
              <c:numCache>
                <c:formatCode>0%</c:formatCode>
                <c:ptCount val="3"/>
                <c:pt idx="0">
                  <c:v>1</c:v>
                </c:pt>
                <c:pt idx="1">
                  <c:v>1</c:v>
                </c:pt>
                <c:pt idx="2">
                  <c:v>1</c:v>
                </c:pt>
              </c:numCache>
            </c:numRef>
          </c:val>
          <c:extLst>
            <c:ext xmlns:c16="http://schemas.microsoft.com/office/drawing/2014/chart" uri="{C3380CC4-5D6E-409C-BE32-E72D297353CC}">
              <c16:uniqueId val="{00000000-4B38-4F1E-B501-0BEB1190C2F5}"/>
            </c:ext>
          </c:extLst>
        </c:ser>
        <c:ser>
          <c:idx val="1"/>
          <c:order val="1"/>
          <c:tx>
            <c:strRef>
              <c:f>'Grafica Dispo y Gestion'!$B$15</c:f>
              <c:strCache>
                <c:ptCount val="1"/>
                <c:pt idx="0">
                  <c:v>Mysql</c:v>
                </c:pt>
              </c:strCache>
            </c:strRef>
          </c:tx>
          <c:spPr>
            <a:solidFill>
              <a:schemeClr val="accent2"/>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Gestion'!$J$15:$S$15</c:f>
              <c:numCache>
                <c:formatCode>0%</c:formatCode>
                <c:ptCount val="3"/>
                <c:pt idx="0">
                  <c:v>1</c:v>
                </c:pt>
                <c:pt idx="1">
                  <c:v>1</c:v>
                </c:pt>
                <c:pt idx="2">
                  <c:v>1</c:v>
                </c:pt>
              </c:numCache>
            </c:numRef>
          </c:val>
          <c:extLst>
            <c:ext xmlns:c16="http://schemas.microsoft.com/office/drawing/2014/chart" uri="{C3380CC4-5D6E-409C-BE32-E72D297353CC}">
              <c16:uniqueId val="{00000001-4B38-4F1E-B501-0BEB1190C2F5}"/>
            </c:ext>
          </c:extLst>
        </c:ser>
        <c:ser>
          <c:idx val="2"/>
          <c:order val="2"/>
          <c:tx>
            <c:strRef>
              <c:f>'Grafica Dispo y Gestion'!$B$16</c:f>
              <c:strCache>
                <c:ptCount val="1"/>
                <c:pt idx="0">
                  <c:v>Oracle</c:v>
                </c:pt>
              </c:strCache>
            </c:strRef>
          </c:tx>
          <c:spPr>
            <a:solidFill>
              <a:schemeClr val="accent3"/>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Gestion'!$J$16:$S$16</c:f>
              <c:numCache>
                <c:formatCode>0.00%</c:formatCode>
                <c:ptCount val="3"/>
                <c:pt idx="0" formatCode="0%">
                  <c:v>1</c:v>
                </c:pt>
                <c:pt idx="1">
                  <c:v>0.97319999999999995</c:v>
                </c:pt>
                <c:pt idx="2" formatCode="0%">
                  <c:v>1</c:v>
                </c:pt>
              </c:numCache>
            </c:numRef>
          </c:val>
          <c:extLst>
            <c:ext xmlns:c16="http://schemas.microsoft.com/office/drawing/2014/chart" uri="{C3380CC4-5D6E-409C-BE32-E72D297353CC}">
              <c16:uniqueId val="{00000002-4B38-4F1E-B501-0BEB1190C2F5}"/>
            </c:ext>
          </c:extLst>
        </c:ser>
        <c:ser>
          <c:idx val="3"/>
          <c:order val="3"/>
          <c:tx>
            <c:strRef>
              <c:f>'Grafica Dispo y Gestion'!$B$17</c:f>
              <c:strCache>
                <c:ptCount val="1"/>
                <c:pt idx="0">
                  <c:v>Aws</c:v>
                </c:pt>
              </c:strCache>
            </c:strRef>
          </c:tx>
          <c:spPr>
            <a:solidFill>
              <a:schemeClr val="accent4"/>
            </a:solidFill>
            <a:ln>
              <a:noFill/>
            </a:ln>
            <a:effectLst/>
          </c:spPr>
          <c:invertIfNegative val="0"/>
          <c:cat>
            <c:numRef>
              <c:f>'Grafica Dispo y Gestion'!$J$13:$S$13</c:f>
              <c:numCache>
                <c:formatCode>mmm\-yy</c:formatCode>
                <c:ptCount val="3"/>
                <c:pt idx="0">
                  <c:v>46023</c:v>
                </c:pt>
                <c:pt idx="1">
                  <c:v>46054</c:v>
                </c:pt>
                <c:pt idx="2">
                  <c:v>46082</c:v>
                </c:pt>
              </c:numCache>
            </c:numRef>
          </c:cat>
          <c:val>
            <c:numRef>
              <c:f>'Grafica Dispo y Gestion'!$J$17:$S$17</c:f>
              <c:numCache>
                <c:formatCode>0%</c:formatCode>
                <c:ptCount val="3"/>
                <c:pt idx="0">
                  <c:v>1</c:v>
                </c:pt>
                <c:pt idx="1">
                  <c:v>1</c:v>
                </c:pt>
                <c:pt idx="2">
                  <c:v>1</c:v>
                </c:pt>
              </c:numCache>
            </c:numRef>
          </c:val>
          <c:extLst>
            <c:ext xmlns:c16="http://schemas.microsoft.com/office/drawing/2014/chart" uri="{C3380CC4-5D6E-409C-BE32-E72D297353CC}">
              <c16:uniqueId val="{00000000-E096-493B-BABA-26CF6C9F92A9}"/>
            </c:ext>
          </c:extLst>
        </c:ser>
        <c:dLbls>
          <c:showLegendKey val="0"/>
          <c:showVal val="0"/>
          <c:showCatName val="0"/>
          <c:showSerName val="0"/>
          <c:showPercent val="0"/>
          <c:showBubbleSize val="0"/>
        </c:dLbls>
        <c:gapWidth val="219"/>
        <c:overlap val="-27"/>
        <c:axId val="659341823"/>
        <c:axId val="735507599"/>
      </c:barChart>
      <c:dateAx>
        <c:axId val="659341823"/>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35507599"/>
        <c:crosses val="autoZero"/>
        <c:auto val="1"/>
        <c:lblOffset val="100"/>
        <c:baseTimeUnit val="months"/>
      </c:dateAx>
      <c:valAx>
        <c:axId val="7355075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5934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Ejecución</a:t>
            </a:r>
            <a:r>
              <a:rPr lang="es-CO" baseline="0"/>
              <a:t> de Backups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Backups!$O$5</c:f>
              <c:strCache>
                <c:ptCount val="1"/>
                <c:pt idx="0">
                  <c:v>dic-25</c:v>
                </c:pt>
              </c:strCache>
            </c:strRef>
          </c:tx>
          <c:spPr>
            <a:ln w="28575" cap="rnd">
              <a:solidFill>
                <a:schemeClr val="accent1"/>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Backups!$O$6:$O$19</c:f>
            </c:numRef>
          </c:val>
          <c:smooth val="0"/>
          <c:extLst xmlns:c15="http://schemas.microsoft.com/office/drawing/2012/chart">
            <c:ext xmlns:c16="http://schemas.microsoft.com/office/drawing/2014/chart" uri="{C3380CC4-5D6E-409C-BE32-E72D297353CC}">
              <c16:uniqueId val="{00000000-2054-4302-91A7-10A7CCC1C6C9}"/>
            </c:ext>
          </c:extLst>
        </c:ser>
        <c:ser>
          <c:idx val="1"/>
          <c:order val="1"/>
          <c:tx>
            <c:strRef>
              <c:f>Backups!$P$5</c:f>
              <c:strCache>
                <c:ptCount val="1"/>
                <c:pt idx="0">
                  <c:v>ene-26</c:v>
                </c:pt>
              </c:strCache>
            </c:strRef>
          </c:tx>
          <c:spPr>
            <a:ln w="28575" cap="rnd">
              <a:solidFill>
                <a:schemeClr val="accent2"/>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Backups!$P$6:$P$19</c:f>
            </c:numRef>
          </c:val>
          <c:smooth val="0"/>
          <c:extLst xmlns:c15="http://schemas.microsoft.com/office/drawing/2012/chart">
            <c:ext xmlns:c16="http://schemas.microsoft.com/office/drawing/2014/chart" uri="{C3380CC4-5D6E-409C-BE32-E72D297353CC}">
              <c16:uniqueId val="{00000001-2054-4302-91A7-10A7CCC1C6C9}"/>
            </c:ext>
          </c:extLst>
        </c:ser>
        <c:ser>
          <c:idx val="2"/>
          <c:order val="2"/>
          <c:tx>
            <c:strRef>
              <c:f>Backups!$Q$5</c:f>
              <c:strCache>
                <c:ptCount val="1"/>
                <c:pt idx="0">
                  <c:v>feb-26</c:v>
                </c:pt>
              </c:strCache>
            </c:strRef>
          </c:tx>
          <c:spPr>
            <a:ln w="28575" cap="rnd">
              <a:solidFill>
                <a:schemeClr val="accent3"/>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Backups!$Q$6:$Q$19</c:f>
            </c:numRef>
          </c:val>
          <c:smooth val="0"/>
          <c:extLst>
            <c:ext xmlns:c16="http://schemas.microsoft.com/office/drawing/2014/chart" uri="{C3380CC4-5D6E-409C-BE32-E72D297353CC}">
              <c16:uniqueId val="{00000002-2054-4302-91A7-10A7CCC1C6C9}"/>
            </c:ext>
          </c:extLst>
        </c:ser>
        <c:ser>
          <c:idx val="3"/>
          <c:order val="3"/>
          <c:tx>
            <c:strRef>
              <c:f>Backups!$R$5</c:f>
              <c:strCache>
                <c:ptCount val="1"/>
                <c:pt idx="0">
                  <c:v>mar-26</c:v>
                </c:pt>
              </c:strCache>
            </c:strRef>
          </c:tx>
          <c:spPr>
            <a:ln w="28575" cap="rnd">
              <a:solidFill>
                <a:schemeClr val="accent4"/>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Backups!$R$6:$R$19</c:f>
            </c:numRef>
          </c:val>
          <c:smooth val="0"/>
          <c:extLst>
            <c:ext xmlns:c16="http://schemas.microsoft.com/office/drawing/2014/chart" uri="{C3380CC4-5D6E-409C-BE32-E72D297353CC}">
              <c16:uniqueId val="{00000000-3CE5-41A6-9FEF-27D03BCC33DD}"/>
            </c:ext>
          </c:extLst>
        </c:ser>
        <c:ser>
          <c:idx val="4"/>
          <c:order val="4"/>
          <c:tx>
            <c:strRef>
              <c:f>Backups!$S$5</c:f>
              <c:strCache>
                <c:ptCount val="1"/>
                <c:pt idx="0">
                  <c:v>abr-26</c:v>
                </c:pt>
              </c:strCache>
            </c:strRef>
          </c:tx>
          <c:spPr>
            <a:ln w="28575" cap="rnd">
              <a:solidFill>
                <a:schemeClr val="accent5"/>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Backups!$S$6:$S$19</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0-639D-452F-B562-B2FCDFD7823E}"/>
            </c:ext>
          </c:extLst>
        </c:ser>
        <c:ser>
          <c:idx val="5"/>
          <c:order val="5"/>
          <c:tx>
            <c:strRef>
              <c:f>Backups!$T$5</c:f>
              <c:strCache>
                <c:ptCount val="1"/>
                <c:pt idx="0">
                  <c:v>may-26</c:v>
                </c:pt>
              </c:strCache>
            </c:strRef>
          </c:tx>
          <c:spPr>
            <a:ln w="28575" cap="rnd">
              <a:solidFill>
                <a:schemeClr val="accent6"/>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Backups!$T$6:$T$19</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0-C9C8-4F84-8760-779A78F88F42}"/>
            </c:ext>
          </c:extLst>
        </c:ser>
        <c:ser>
          <c:idx val="6"/>
          <c:order val="6"/>
          <c:tx>
            <c:strRef>
              <c:f>Backups!$U$5</c:f>
              <c:strCache>
                <c:ptCount val="1"/>
                <c:pt idx="0">
                  <c:v>jun-26</c:v>
                </c:pt>
              </c:strCache>
            </c:strRef>
          </c:tx>
          <c:spPr>
            <a:ln w="28575" cap="rnd">
              <a:solidFill>
                <a:schemeClr val="accent1">
                  <a:lumMod val="60000"/>
                </a:schemeClr>
              </a:solidFill>
              <a:round/>
            </a:ln>
            <a:effectLst/>
          </c:spPr>
          <c:marker>
            <c:symbol val="none"/>
          </c:marker>
          <c:cat>
            <c:strRef>
              <c:f>Backups!$B$6:$B$19</c:f>
              <c:strCache>
                <c:ptCount val="14"/>
                <c:pt idx="0">
                  <c:v>INVERACCION</c:v>
                </c:pt>
                <c:pt idx="1">
                  <c:v>ACBACOLG</c:v>
                </c:pt>
                <c:pt idx="2">
                  <c:v>APPACCION</c:v>
                </c:pt>
                <c:pt idx="3">
                  <c:v>INVHISTO</c:v>
                </c:pt>
                <c:pt idx="4">
                  <c:v>PWP</c:v>
                </c:pt>
                <c:pt idx="5">
                  <c:v>PSE</c:v>
                </c:pt>
                <c:pt idx="6">
                  <c:v>ACCIONAR</c:v>
                </c:pt>
                <c:pt idx="7">
                  <c:v>INTRANET</c:v>
                </c:pt>
                <c:pt idx="8">
                  <c:v>ORFEO</c:v>
                </c:pt>
                <c:pt idx="9">
                  <c:v>ACCION</c:v>
                </c:pt>
                <c:pt idx="10">
                  <c:v>CORETUTASK</c:v>
                </c:pt>
                <c:pt idx="11">
                  <c:v>LEGALBC</c:v>
                </c:pt>
                <c:pt idx="12">
                  <c:v>VLOZ</c:v>
                </c:pt>
                <c:pt idx="13">
                  <c:v>CHEETA</c:v>
                </c:pt>
              </c:strCache>
            </c:strRef>
          </c:cat>
          <c:val>
            <c:numRef>
              <c:f>Backups!$U$6:$U$19</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0-B4CA-4AD7-B234-E53526284102}"/>
            </c:ext>
          </c:extLst>
        </c:ser>
        <c:dLbls>
          <c:showLegendKey val="0"/>
          <c:showVal val="0"/>
          <c:showCatName val="0"/>
          <c:showSerName val="0"/>
          <c:showPercent val="0"/>
          <c:showBubbleSize val="0"/>
        </c:dLbls>
        <c:smooth val="0"/>
        <c:axId val="62764208"/>
        <c:axId val="62757968"/>
        <c:extLst/>
      </c:lineChart>
      <c:catAx>
        <c:axId val="6276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2757968"/>
        <c:crosses val="autoZero"/>
        <c:auto val="1"/>
        <c:lblAlgn val="ctr"/>
        <c:lblOffset val="100"/>
        <c:noMultiLvlLbl val="0"/>
      </c:catAx>
      <c:valAx>
        <c:axId val="6275796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276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476251</xdr:colOff>
      <xdr:row>6</xdr:row>
      <xdr:rowOff>159542</xdr:rowOff>
    </xdr:from>
    <xdr:to>
      <xdr:col>33</xdr:col>
      <xdr:colOff>11907</xdr:colOff>
      <xdr:row>35</xdr:row>
      <xdr:rowOff>119061</xdr:rowOff>
    </xdr:to>
    <xdr:graphicFrame macro="">
      <xdr:nvGraphicFramePr>
        <xdr:cNvPr id="2" name="Gráfico 1">
          <a:extLst>
            <a:ext uri="{FF2B5EF4-FFF2-40B4-BE49-F238E27FC236}">
              <a16:creationId xmlns:a16="http://schemas.microsoft.com/office/drawing/2014/main" id="{F87C03DC-1F04-C089-E149-A3F2AD972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434578</xdr:colOff>
      <xdr:row>34</xdr:row>
      <xdr:rowOff>63102</xdr:rowOff>
    </xdr:from>
    <xdr:to>
      <xdr:col>17</xdr:col>
      <xdr:colOff>11906</xdr:colOff>
      <xdr:row>54</xdr:row>
      <xdr:rowOff>0</xdr:rowOff>
    </xdr:to>
    <xdr:graphicFrame macro="">
      <xdr:nvGraphicFramePr>
        <xdr:cNvPr id="3" name="Gráfico 2">
          <a:extLst>
            <a:ext uri="{FF2B5EF4-FFF2-40B4-BE49-F238E27FC236}">
              <a16:creationId xmlns:a16="http://schemas.microsoft.com/office/drawing/2014/main" id="{9EC72E62-30B5-D676-DD68-60135E3DB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295274</xdr:colOff>
      <xdr:row>13</xdr:row>
      <xdr:rowOff>128587</xdr:rowOff>
    </xdr:from>
    <xdr:to>
      <xdr:col>29</xdr:col>
      <xdr:colOff>76199</xdr:colOff>
      <xdr:row>28</xdr:row>
      <xdr:rowOff>114300</xdr:rowOff>
    </xdr:to>
    <xdr:graphicFrame macro="">
      <xdr:nvGraphicFramePr>
        <xdr:cNvPr id="5" name="Gráfico 4">
          <a:extLst>
            <a:ext uri="{FF2B5EF4-FFF2-40B4-BE49-F238E27FC236}">
              <a16:creationId xmlns:a16="http://schemas.microsoft.com/office/drawing/2014/main" id="{D14691A5-AEC9-ED0A-A2C2-5C4AAD884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238125</xdr:colOff>
      <xdr:row>4</xdr:row>
      <xdr:rowOff>138112</xdr:rowOff>
    </xdr:from>
    <xdr:to>
      <xdr:col>30</xdr:col>
      <xdr:colOff>238125</xdr:colOff>
      <xdr:row>19</xdr:row>
      <xdr:rowOff>23812</xdr:rowOff>
    </xdr:to>
    <xdr:graphicFrame macro="">
      <xdr:nvGraphicFramePr>
        <xdr:cNvPr id="3" name="Gráfico 2">
          <a:extLst>
            <a:ext uri="{FF2B5EF4-FFF2-40B4-BE49-F238E27FC236}">
              <a16:creationId xmlns:a16="http://schemas.microsoft.com/office/drawing/2014/main" id="{D2DD1B8F-736D-2758-8B0C-81559EFC4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9FFE8-A829-4544-AA18-33AD087920BE}">
  <dimension ref="B3:V18"/>
  <sheetViews>
    <sheetView workbookViewId="0">
      <selection activeCell="W6" sqref="W6"/>
    </sheetView>
  </sheetViews>
  <sheetFormatPr baseColWidth="10" defaultColWidth="11.5" defaultRowHeight="15" x14ac:dyDescent="0.2"/>
  <cols>
    <col min="2" max="2" width="15.1640625" bestFit="1" customWidth="1"/>
    <col min="3" max="3" width="12.83203125" bestFit="1" customWidth="1"/>
    <col min="4" max="4" width="7.1640625" bestFit="1" customWidth="1"/>
    <col min="5" max="5" width="7.33203125" hidden="1" customWidth="1"/>
    <col min="6" max="6" width="7.1640625" hidden="1" customWidth="1"/>
    <col min="7" max="7" width="7.5" hidden="1" customWidth="1"/>
    <col min="8" max="8" width="6.5" hidden="1" customWidth="1"/>
    <col min="9" max="9" width="7.5" hidden="1" customWidth="1"/>
    <col min="10" max="10" width="7" hidden="1" customWidth="1"/>
    <col min="11" max="12" width="6.83203125" hidden="1" customWidth="1"/>
    <col min="13" max="13" width="7" hidden="1" customWidth="1"/>
    <col min="14" max="14" width="6.5" hidden="1" customWidth="1"/>
    <col min="15" max="15" width="7" hidden="1" customWidth="1"/>
    <col min="16" max="16" width="6" bestFit="1" customWidth="1"/>
    <col min="17" max="17" width="7" bestFit="1" customWidth="1"/>
    <col min="18" max="18" width="6.1640625" bestFit="1" customWidth="1"/>
    <col min="19" max="19" width="6.6640625" bestFit="1" customWidth="1"/>
    <col min="20" max="20" width="6.1640625" bestFit="1" customWidth="1"/>
    <col min="21" max="21" width="6.83203125" bestFit="1" customWidth="1"/>
    <col min="22" max="22" width="6.1640625" bestFit="1" customWidth="1"/>
  </cols>
  <sheetData>
    <row r="3" spans="2:22" ht="19" x14ac:dyDescent="0.25">
      <c r="B3" s="71" t="s">
        <v>0</v>
      </c>
      <c r="C3" s="72"/>
      <c r="D3" s="72"/>
      <c r="E3" s="72"/>
      <c r="F3" s="72"/>
      <c r="G3" s="72"/>
      <c r="H3" s="72"/>
      <c r="I3" s="72"/>
      <c r="J3" s="72"/>
      <c r="K3" s="72"/>
      <c r="L3" s="72"/>
      <c r="M3" s="72"/>
      <c r="N3" s="72"/>
      <c r="O3" s="72"/>
      <c r="P3" s="72"/>
      <c r="Q3" s="72"/>
      <c r="R3" s="72"/>
      <c r="S3" s="72"/>
      <c r="T3" s="72"/>
      <c r="U3" s="72"/>
      <c r="V3" s="72"/>
    </row>
    <row r="4" spans="2:22" x14ac:dyDescent="0.2">
      <c r="B4" s="2" t="s">
        <v>1</v>
      </c>
      <c r="C4" s="2" t="s">
        <v>2</v>
      </c>
      <c r="D4" s="2" t="s">
        <v>3</v>
      </c>
      <c r="E4" s="1">
        <v>45658</v>
      </c>
      <c r="F4" s="1">
        <v>45689</v>
      </c>
      <c r="G4" s="1">
        <v>45717</v>
      </c>
      <c r="H4" s="1">
        <v>45748</v>
      </c>
      <c r="I4" s="1">
        <v>45778</v>
      </c>
      <c r="J4" s="1">
        <v>45809</v>
      </c>
      <c r="K4" s="1">
        <v>45839</v>
      </c>
      <c r="L4" s="1">
        <v>45870</v>
      </c>
      <c r="M4" s="1">
        <v>45901</v>
      </c>
      <c r="N4" s="1">
        <v>45931</v>
      </c>
      <c r="O4" s="1">
        <v>45962</v>
      </c>
      <c r="P4" s="1">
        <v>45992</v>
      </c>
      <c r="Q4" s="56">
        <v>46023</v>
      </c>
      <c r="R4" s="56">
        <v>46054</v>
      </c>
      <c r="S4" s="56">
        <v>46082</v>
      </c>
      <c r="T4" s="56">
        <v>46113</v>
      </c>
      <c r="U4" s="56">
        <v>46143</v>
      </c>
      <c r="V4" s="56">
        <v>46174</v>
      </c>
    </row>
    <row r="5" spans="2:22" ht="20.25" customHeight="1" x14ac:dyDescent="0.2">
      <c r="B5" s="3" t="s">
        <v>4</v>
      </c>
      <c r="C5" s="32" t="s">
        <v>5</v>
      </c>
      <c r="D5" s="5" t="s">
        <v>6</v>
      </c>
      <c r="E5" s="4">
        <v>1</v>
      </c>
      <c r="F5" s="4">
        <v>1</v>
      </c>
      <c r="G5" s="4">
        <v>1</v>
      </c>
      <c r="H5" s="4">
        <v>1</v>
      </c>
      <c r="I5" s="4">
        <v>1</v>
      </c>
      <c r="J5" s="4">
        <v>1</v>
      </c>
      <c r="K5" s="4">
        <v>1</v>
      </c>
      <c r="L5" s="4">
        <v>1</v>
      </c>
      <c r="M5" s="4">
        <v>1</v>
      </c>
      <c r="N5" s="4">
        <v>1</v>
      </c>
      <c r="O5" s="51">
        <v>0.98019999999999996</v>
      </c>
      <c r="P5" s="52">
        <v>1</v>
      </c>
      <c r="Q5" s="55">
        <v>1</v>
      </c>
      <c r="R5" s="55">
        <v>1</v>
      </c>
      <c r="S5" s="55">
        <v>1</v>
      </c>
      <c r="T5" s="55">
        <v>1</v>
      </c>
      <c r="U5" s="55">
        <v>1</v>
      </c>
      <c r="V5" s="55">
        <v>1</v>
      </c>
    </row>
    <row r="6" spans="2:22" ht="16" x14ac:dyDescent="0.2">
      <c r="B6" s="3" t="s">
        <v>4</v>
      </c>
      <c r="C6" s="32" t="s">
        <v>7</v>
      </c>
      <c r="D6" s="5" t="s">
        <v>6</v>
      </c>
      <c r="E6" s="4">
        <v>1</v>
      </c>
      <c r="F6" s="8">
        <v>0.99990000000000001</v>
      </c>
      <c r="G6" s="4">
        <v>1</v>
      </c>
      <c r="H6" s="4">
        <v>1</v>
      </c>
      <c r="I6" s="4">
        <v>1</v>
      </c>
      <c r="J6" s="4">
        <v>1</v>
      </c>
      <c r="K6" s="4">
        <v>1</v>
      </c>
      <c r="L6" s="4">
        <v>1</v>
      </c>
      <c r="M6" s="4">
        <v>1</v>
      </c>
      <c r="N6" s="4">
        <v>1</v>
      </c>
      <c r="O6" s="51">
        <v>0.98019999999999996</v>
      </c>
      <c r="P6" s="52">
        <v>1</v>
      </c>
      <c r="Q6" s="55">
        <v>1</v>
      </c>
      <c r="R6" s="55">
        <v>1</v>
      </c>
      <c r="S6" s="55">
        <v>1</v>
      </c>
      <c r="T6" s="55">
        <v>1</v>
      </c>
      <c r="U6" s="55">
        <v>1</v>
      </c>
      <c r="V6" s="55">
        <v>1</v>
      </c>
    </row>
    <row r="7" spans="2:22" ht="16" x14ac:dyDescent="0.2">
      <c r="B7" s="3" t="s">
        <v>4</v>
      </c>
      <c r="C7" s="32" t="s">
        <v>8</v>
      </c>
      <c r="D7" s="5" t="s">
        <v>6</v>
      </c>
      <c r="E7" s="7">
        <v>1</v>
      </c>
      <c r="F7" s="6">
        <v>1</v>
      </c>
      <c r="G7" s="6">
        <v>1</v>
      </c>
      <c r="H7" s="6">
        <v>1</v>
      </c>
      <c r="I7" s="6">
        <v>1</v>
      </c>
      <c r="J7" s="6">
        <v>1</v>
      </c>
      <c r="K7" s="6">
        <v>1</v>
      </c>
      <c r="L7" s="6">
        <v>1</v>
      </c>
      <c r="M7" s="6">
        <v>1</v>
      </c>
      <c r="N7" s="6">
        <v>1</v>
      </c>
      <c r="O7" s="51">
        <v>0.98019999999999996</v>
      </c>
      <c r="P7" s="9">
        <v>1</v>
      </c>
      <c r="Q7" s="55">
        <v>1</v>
      </c>
      <c r="R7" s="55">
        <v>1</v>
      </c>
      <c r="S7" s="55">
        <v>1</v>
      </c>
      <c r="T7" s="55">
        <v>1</v>
      </c>
      <c r="U7" s="55">
        <v>1</v>
      </c>
      <c r="V7" s="55">
        <v>1</v>
      </c>
    </row>
    <row r="8" spans="2:22" ht="16" x14ac:dyDescent="0.2">
      <c r="B8" s="3" t="s">
        <v>4</v>
      </c>
      <c r="C8" s="32" t="s">
        <v>9</v>
      </c>
      <c r="D8" s="5" t="s">
        <v>6</v>
      </c>
      <c r="E8" s="7">
        <v>1</v>
      </c>
      <c r="F8" s="6">
        <v>1</v>
      </c>
      <c r="G8" s="6">
        <v>1</v>
      </c>
      <c r="H8" s="6">
        <v>1</v>
      </c>
      <c r="I8" s="6">
        <v>1</v>
      </c>
      <c r="J8" s="6">
        <v>1</v>
      </c>
      <c r="K8" s="6">
        <v>1</v>
      </c>
      <c r="L8" s="6">
        <v>1</v>
      </c>
      <c r="M8" s="6">
        <v>1</v>
      </c>
      <c r="N8" s="6">
        <v>1</v>
      </c>
      <c r="O8" s="51">
        <v>0.98019999999999996</v>
      </c>
      <c r="P8" s="9">
        <v>1</v>
      </c>
      <c r="Q8" s="55">
        <v>1</v>
      </c>
      <c r="R8" s="55">
        <v>1</v>
      </c>
      <c r="S8" s="55">
        <v>1</v>
      </c>
      <c r="T8" s="55">
        <v>1</v>
      </c>
      <c r="U8" s="55">
        <v>1</v>
      </c>
      <c r="V8" s="55">
        <v>1</v>
      </c>
    </row>
    <row r="9" spans="2:22" ht="16" x14ac:dyDescent="0.2">
      <c r="B9" s="3" t="s">
        <v>4</v>
      </c>
      <c r="C9" s="32" t="s">
        <v>10</v>
      </c>
      <c r="D9" s="5" t="s">
        <v>6</v>
      </c>
      <c r="E9" s="7">
        <v>1</v>
      </c>
      <c r="F9" s="6">
        <v>1</v>
      </c>
      <c r="G9" s="6">
        <v>1</v>
      </c>
      <c r="H9" s="6">
        <v>1</v>
      </c>
      <c r="I9" s="6">
        <v>1</v>
      </c>
      <c r="J9" s="6">
        <v>1</v>
      </c>
      <c r="K9" s="6">
        <v>1</v>
      </c>
      <c r="L9" s="6">
        <v>1</v>
      </c>
      <c r="M9" s="6">
        <v>1</v>
      </c>
      <c r="N9" s="6">
        <v>1</v>
      </c>
      <c r="O9" s="6">
        <v>1</v>
      </c>
      <c r="P9" s="9">
        <v>1</v>
      </c>
      <c r="Q9" s="55">
        <v>1</v>
      </c>
      <c r="R9" s="55">
        <v>1</v>
      </c>
      <c r="S9" s="55">
        <v>1</v>
      </c>
      <c r="T9" s="55">
        <v>1</v>
      </c>
      <c r="U9" s="55">
        <v>1</v>
      </c>
      <c r="V9" s="55">
        <v>1</v>
      </c>
    </row>
    <row r="10" spans="2:22" ht="16" x14ac:dyDescent="0.2">
      <c r="B10" s="3" t="s">
        <v>4</v>
      </c>
      <c r="C10" s="32" t="s">
        <v>11</v>
      </c>
      <c r="D10" s="5" t="s">
        <v>6</v>
      </c>
      <c r="E10" s="7">
        <v>1</v>
      </c>
      <c r="F10" s="6">
        <v>1</v>
      </c>
      <c r="G10" s="6">
        <v>1</v>
      </c>
      <c r="H10" s="6">
        <v>1</v>
      </c>
      <c r="I10" s="6">
        <v>1</v>
      </c>
      <c r="J10" s="6">
        <v>1</v>
      </c>
      <c r="K10" s="6">
        <v>1</v>
      </c>
      <c r="L10" s="6">
        <v>1</v>
      </c>
      <c r="M10" s="6">
        <v>1</v>
      </c>
      <c r="N10" s="6">
        <v>1</v>
      </c>
      <c r="O10" s="6">
        <v>1</v>
      </c>
      <c r="P10" s="9">
        <v>1</v>
      </c>
      <c r="Q10" s="55">
        <v>1</v>
      </c>
      <c r="R10" s="55">
        <v>1</v>
      </c>
      <c r="S10" s="55">
        <v>1</v>
      </c>
      <c r="T10" s="55">
        <v>1</v>
      </c>
      <c r="U10" s="55">
        <v>1</v>
      </c>
      <c r="V10" s="55">
        <v>1</v>
      </c>
    </row>
    <row r="11" spans="2:22" ht="16" x14ac:dyDescent="0.2">
      <c r="B11" s="3" t="s">
        <v>4</v>
      </c>
      <c r="C11" s="32" t="s">
        <v>12</v>
      </c>
      <c r="D11" s="5" t="s">
        <v>6</v>
      </c>
      <c r="E11" s="7">
        <v>1</v>
      </c>
      <c r="F11" s="6">
        <v>1</v>
      </c>
      <c r="G11" s="6">
        <v>1</v>
      </c>
      <c r="H11" s="6">
        <v>1</v>
      </c>
      <c r="I11" s="6">
        <v>1</v>
      </c>
      <c r="J11" s="6">
        <v>1</v>
      </c>
      <c r="K11" s="6">
        <v>1</v>
      </c>
      <c r="L11" s="6">
        <v>1</v>
      </c>
      <c r="M11" s="6">
        <v>1</v>
      </c>
      <c r="N11" s="6">
        <v>1</v>
      </c>
      <c r="O11" s="6">
        <v>1</v>
      </c>
      <c r="P11" s="9">
        <v>1</v>
      </c>
      <c r="Q11" s="55">
        <v>1</v>
      </c>
      <c r="R11" s="55">
        <v>1</v>
      </c>
      <c r="S11" s="55">
        <v>1</v>
      </c>
      <c r="T11" s="55">
        <v>1</v>
      </c>
      <c r="U11" s="55">
        <v>1</v>
      </c>
      <c r="V11" s="55">
        <v>1</v>
      </c>
    </row>
    <row r="12" spans="2:22" ht="16" x14ac:dyDescent="0.2">
      <c r="B12" s="3" t="s">
        <v>4</v>
      </c>
      <c r="C12" s="32" t="s">
        <v>13</v>
      </c>
      <c r="D12" s="5" t="s">
        <v>6</v>
      </c>
      <c r="E12" s="7">
        <v>1</v>
      </c>
      <c r="F12" s="6">
        <v>1</v>
      </c>
      <c r="G12" s="6">
        <v>1</v>
      </c>
      <c r="H12" s="6">
        <v>1</v>
      </c>
      <c r="I12" s="6">
        <v>1</v>
      </c>
      <c r="J12" s="6">
        <v>1</v>
      </c>
      <c r="K12" s="6">
        <v>1</v>
      </c>
      <c r="L12" s="6">
        <v>1</v>
      </c>
      <c r="M12" s="6">
        <v>1</v>
      </c>
      <c r="N12" s="6">
        <v>1</v>
      </c>
      <c r="O12" s="6">
        <v>1</v>
      </c>
      <c r="P12" s="9">
        <v>1</v>
      </c>
      <c r="Q12" s="55">
        <v>1</v>
      </c>
      <c r="R12" s="55">
        <v>1</v>
      </c>
      <c r="S12" s="55">
        <v>1</v>
      </c>
      <c r="T12" s="55">
        <v>1</v>
      </c>
      <c r="U12" s="55">
        <v>1</v>
      </c>
      <c r="V12" s="55">
        <v>1</v>
      </c>
    </row>
    <row r="13" spans="2:22" ht="16" x14ac:dyDescent="0.2">
      <c r="B13" s="3" t="s">
        <v>4</v>
      </c>
      <c r="C13" s="32" t="s">
        <v>14</v>
      </c>
      <c r="D13" s="5" t="s">
        <v>6</v>
      </c>
      <c r="E13" s="7">
        <v>1</v>
      </c>
      <c r="F13" s="6">
        <v>1</v>
      </c>
      <c r="G13" s="6">
        <v>1</v>
      </c>
      <c r="H13" s="6">
        <v>1</v>
      </c>
      <c r="I13" s="6">
        <v>1</v>
      </c>
      <c r="J13" s="6">
        <v>1</v>
      </c>
      <c r="K13" s="6">
        <v>1</v>
      </c>
      <c r="L13" s="6">
        <v>1</v>
      </c>
      <c r="M13" s="6">
        <v>1</v>
      </c>
      <c r="N13" s="6">
        <v>1</v>
      </c>
      <c r="O13" s="6">
        <v>1</v>
      </c>
      <c r="P13" s="9">
        <v>1</v>
      </c>
      <c r="Q13" s="55">
        <v>1</v>
      </c>
      <c r="R13" s="55">
        <v>1</v>
      </c>
      <c r="S13" s="55">
        <v>1</v>
      </c>
      <c r="T13" s="55">
        <v>1</v>
      </c>
      <c r="U13" s="55">
        <v>1</v>
      </c>
      <c r="V13" s="55">
        <v>1</v>
      </c>
    </row>
    <row r="14" spans="2:22" ht="16" x14ac:dyDescent="0.2">
      <c r="B14" s="3" t="s">
        <v>4</v>
      </c>
      <c r="C14" s="32" t="s">
        <v>15</v>
      </c>
      <c r="D14" s="5" t="s">
        <v>6</v>
      </c>
      <c r="E14" s="7">
        <v>1</v>
      </c>
      <c r="F14" s="6">
        <v>1</v>
      </c>
      <c r="G14" s="6">
        <v>1</v>
      </c>
      <c r="H14" s="6">
        <v>1</v>
      </c>
      <c r="I14" s="6">
        <v>1</v>
      </c>
      <c r="J14" s="6">
        <v>1</v>
      </c>
      <c r="K14" s="6">
        <v>1</v>
      </c>
      <c r="L14" s="48">
        <v>1</v>
      </c>
      <c r="M14" s="48">
        <v>1</v>
      </c>
      <c r="N14" s="48">
        <v>1</v>
      </c>
      <c r="O14" s="6">
        <v>1</v>
      </c>
      <c r="P14" s="53">
        <v>1</v>
      </c>
      <c r="Q14" s="55">
        <v>1</v>
      </c>
      <c r="R14" s="55">
        <v>1</v>
      </c>
      <c r="S14" s="55">
        <v>1</v>
      </c>
      <c r="T14" s="55">
        <v>1</v>
      </c>
      <c r="U14" s="55">
        <v>1</v>
      </c>
      <c r="V14" s="55">
        <v>1</v>
      </c>
    </row>
    <row r="15" spans="2:22" ht="16" x14ac:dyDescent="0.2">
      <c r="B15" s="3" t="s">
        <v>4</v>
      </c>
      <c r="C15" s="32" t="s">
        <v>16</v>
      </c>
      <c r="D15" s="5" t="s">
        <v>6</v>
      </c>
      <c r="E15" s="7">
        <v>1</v>
      </c>
      <c r="F15" s="6">
        <v>1</v>
      </c>
      <c r="G15" s="9">
        <v>1</v>
      </c>
      <c r="H15" s="9">
        <v>1</v>
      </c>
      <c r="I15" s="9">
        <v>1</v>
      </c>
      <c r="J15" s="9">
        <v>1</v>
      </c>
      <c r="K15" s="9">
        <v>1</v>
      </c>
      <c r="L15" s="49">
        <v>1</v>
      </c>
      <c r="M15" s="49">
        <v>1</v>
      </c>
      <c r="N15" s="49">
        <v>1</v>
      </c>
      <c r="O15" s="6">
        <v>1</v>
      </c>
      <c r="P15" s="54">
        <v>1</v>
      </c>
      <c r="Q15" s="55">
        <v>1</v>
      </c>
      <c r="R15" s="55">
        <v>1</v>
      </c>
      <c r="S15" s="55">
        <v>1</v>
      </c>
      <c r="T15" s="55">
        <v>1</v>
      </c>
      <c r="U15" s="55">
        <v>1</v>
      </c>
      <c r="V15" s="55">
        <v>1</v>
      </c>
    </row>
    <row r="16" spans="2:22" ht="16" x14ac:dyDescent="0.2">
      <c r="B16" s="3" t="s">
        <v>4</v>
      </c>
      <c r="C16" s="32" t="s">
        <v>17</v>
      </c>
      <c r="D16" s="5" t="s">
        <v>6</v>
      </c>
      <c r="E16" s="7">
        <v>1</v>
      </c>
      <c r="F16" s="6">
        <v>1</v>
      </c>
      <c r="G16" s="9">
        <v>1</v>
      </c>
      <c r="H16" s="9">
        <v>1</v>
      </c>
      <c r="I16" s="9">
        <v>1</v>
      </c>
      <c r="J16" s="9">
        <v>1</v>
      </c>
      <c r="K16" s="9">
        <v>1</v>
      </c>
      <c r="L16" s="49">
        <v>1</v>
      </c>
      <c r="M16" s="49">
        <v>1</v>
      </c>
      <c r="N16" s="49">
        <v>1</v>
      </c>
      <c r="O16" s="6">
        <v>1</v>
      </c>
      <c r="P16" s="54">
        <v>1</v>
      </c>
      <c r="Q16" s="55">
        <v>1</v>
      </c>
      <c r="R16" s="55">
        <v>1</v>
      </c>
      <c r="S16" s="55">
        <v>1</v>
      </c>
      <c r="T16" s="55">
        <v>1</v>
      </c>
      <c r="U16" s="55">
        <v>1</v>
      </c>
      <c r="V16" s="55">
        <v>1</v>
      </c>
    </row>
    <row r="17" spans="2:22" ht="16" x14ac:dyDescent="0.2">
      <c r="B17" s="3" t="s">
        <v>4</v>
      </c>
      <c r="C17" s="32" t="s">
        <v>18</v>
      </c>
      <c r="D17" s="5" t="s">
        <v>6</v>
      </c>
      <c r="E17" s="7">
        <v>1</v>
      </c>
      <c r="F17" s="6">
        <v>1</v>
      </c>
      <c r="G17" s="9">
        <v>1</v>
      </c>
      <c r="H17" s="9">
        <v>1</v>
      </c>
      <c r="I17" s="9">
        <v>1</v>
      </c>
      <c r="J17" s="9">
        <v>1</v>
      </c>
      <c r="K17" s="9">
        <v>1</v>
      </c>
      <c r="L17" s="49">
        <v>1</v>
      </c>
      <c r="M17" s="49">
        <v>1</v>
      </c>
      <c r="N17" s="49">
        <v>1</v>
      </c>
      <c r="O17" s="6">
        <v>1</v>
      </c>
      <c r="P17" s="54">
        <v>1</v>
      </c>
      <c r="Q17" s="55">
        <v>1</v>
      </c>
      <c r="R17" s="55">
        <v>1</v>
      </c>
      <c r="S17" s="55">
        <v>1</v>
      </c>
      <c r="T17" s="55">
        <v>1</v>
      </c>
      <c r="U17" s="55">
        <v>1</v>
      </c>
      <c r="V17" s="55">
        <v>1</v>
      </c>
    </row>
    <row r="18" spans="2:22" ht="16" x14ac:dyDescent="0.2">
      <c r="B18" s="3" t="s">
        <v>4</v>
      </c>
      <c r="C18" s="32" t="s">
        <v>19</v>
      </c>
      <c r="D18" s="5" t="s">
        <v>6</v>
      </c>
      <c r="E18" s="7">
        <v>1</v>
      </c>
      <c r="F18" s="6">
        <v>1</v>
      </c>
      <c r="G18" s="9">
        <v>1</v>
      </c>
      <c r="H18" s="9">
        <v>1</v>
      </c>
      <c r="I18" s="9">
        <v>1</v>
      </c>
      <c r="J18" s="9">
        <v>1</v>
      </c>
      <c r="K18" s="9">
        <v>1</v>
      </c>
      <c r="L18" s="49">
        <v>1</v>
      </c>
      <c r="M18" s="49">
        <v>1</v>
      </c>
      <c r="N18" s="49">
        <v>1</v>
      </c>
      <c r="O18" s="51">
        <v>0.98019999999999996</v>
      </c>
      <c r="P18" s="54">
        <v>1</v>
      </c>
      <c r="Q18" s="57">
        <v>0.99929999999999997</v>
      </c>
      <c r="R18" s="55">
        <v>1</v>
      </c>
      <c r="S18" s="55">
        <v>1</v>
      </c>
      <c r="T18" s="55">
        <v>1</v>
      </c>
      <c r="U18" s="55">
        <v>1</v>
      </c>
      <c r="V18" s="55">
        <v>1</v>
      </c>
    </row>
  </sheetData>
  <mergeCells count="1">
    <mergeCell ref="B3:V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C2C2-696B-4B37-9A9A-07A20CA68516}">
  <dimension ref="B3:V13"/>
  <sheetViews>
    <sheetView zoomScale="85" zoomScaleNormal="85" workbookViewId="0">
      <selection activeCell="X25" sqref="X25"/>
    </sheetView>
  </sheetViews>
  <sheetFormatPr baseColWidth="10" defaultColWidth="11.5" defaultRowHeight="15" x14ac:dyDescent="0.2"/>
  <cols>
    <col min="1" max="1" width="11.5" style="24"/>
    <col min="2" max="2" width="22.33203125" style="24" bestFit="1" customWidth="1"/>
    <col min="3" max="3" width="31" style="24" bestFit="1" customWidth="1"/>
    <col min="4" max="5" width="7.1640625" style="24" hidden="1" customWidth="1"/>
    <col min="6" max="6" width="7.33203125" style="24" hidden="1" customWidth="1"/>
    <col min="7" max="7" width="6.6640625" style="24" hidden="1" customWidth="1"/>
    <col min="8" max="8" width="7.5" style="24" hidden="1" customWidth="1"/>
    <col min="9" max="9" width="6.5" style="24" hidden="1" customWidth="1"/>
    <col min="10" max="10" width="6" style="24" hidden="1" customWidth="1"/>
    <col min="11" max="11" width="6.83203125" style="24" hidden="1" customWidth="1"/>
    <col min="12" max="12" width="7" style="24" hidden="1" customWidth="1"/>
    <col min="13" max="13" width="6.5" style="24" hidden="1" customWidth="1"/>
    <col min="14" max="14" width="7" style="24" hidden="1" customWidth="1"/>
    <col min="15" max="15" width="6.5" style="24" hidden="1" customWidth="1"/>
    <col min="16" max="17" width="7.1640625" style="24" hidden="1" customWidth="1"/>
    <col min="18" max="18" width="6.6640625" style="24" hidden="1" customWidth="1"/>
    <col min="19" max="19" width="7.1640625" style="24" hidden="1" customWidth="1"/>
    <col min="20" max="20" width="6.5" style="24" bestFit="1" customWidth="1"/>
    <col min="21" max="21" width="7.5" style="24" bestFit="1" customWidth="1"/>
    <col min="22" max="22" width="6.1640625" style="24" bestFit="1" customWidth="1"/>
    <col min="23" max="16384" width="11.5" style="24"/>
  </cols>
  <sheetData>
    <row r="3" spans="2:22" ht="19" x14ac:dyDescent="0.25">
      <c r="B3" s="73" t="s">
        <v>20</v>
      </c>
      <c r="C3" s="74"/>
      <c r="D3" s="74"/>
      <c r="E3" s="74"/>
      <c r="F3" s="74"/>
      <c r="G3" s="74"/>
      <c r="H3" s="74"/>
      <c r="I3" s="74"/>
      <c r="J3" s="74"/>
      <c r="K3" s="74"/>
      <c r="L3" s="74"/>
      <c r="M3" s="74"/>
      <c r="N3" s="74"/>
      <c r="O3" s="74"/>
      <c r="P3" s="74"/>
      <c r="Q3" s="74"/>
      <c r="R3" s="74"/>
      <c r="S3" s="74"/>
      <c r="T3" s="74"/>
      <c r="U3" s="74"/>
      <c r="V3" s="74"/>
    </row>
    <row r="4" spans="2:22" x14ac:dyDescent="0.2">
      <c r="B4" s="37" t="s">
        <v>1</v>
      </c>
      <c r="C4" s="37" t="s">
        <v>2</v>
      </c>
      <c r="D4" s="29">
        <v>45658</v>
      </c>
      <c r="E4" s="29">
        <v>45689</v>
      </c>
      <c r="F4" s="29">
        <v>45717</v>
      </c>
      <c r="G4" s="29">
        <v>45748</v>
      </c>
      <c r="H4" s="29">
        <v>45778</v>
      </c>
      <c r="I4" s="29">
        <v>45809</v>
      </c>
      <c r="J4" s="29">
        <v>45839</v>
      </c>
      <c r="K4" s="29">
        <v>45870</v>
      </c>
      <c r="L4" s="29">
        <v>45901</v>
      </c>
      <c r="M4" s="29">
        <v>45931</v>
      </c>
      <c r="N4" s="29">
        <v>45962</v>
      </c>
      <c r="O4" s="29">
        <v>45992</v>
      </c>
      <c r="P4" s="29">
        <v>46023</v>
      </c>
      <c r="Q4" s="62">
        <v>46023</v>
      </c>
      <c r="R4" s="62">
        <v>46054</v>
      </c>
      <c r="S4" s="62">
        <v>46082</v>
      </c>
      <c r="T4" s="62">
        <v>46113</v>
      </c>
      <c r="U4" s="67">
        <v>46143</v>
      </c>
      <c r="V4" s="67">
        <v>46174</v>
      </c>
    </row>
    <row r="5" spans="2:22" ht="16" x14ac:dyDescent="0.2">
      <c r="B5" s="38" t="s">
        <v>4</v>
      </c>
      <c r="C5" s="39" t="s">
        <v>21</v>
      </c>
      <c r="D5" s="27">
        <v>0.75</v>
      </c>
      <c r="E5" s="27">
        <v>0.78</v>
      </c>
      <c r="F5" s="27">
        <v>0.9</v>
      </c>
      <c r="G5" s="27">
        <v>0.98</v>
      </c>
      <c r="H5" s="27">
        <v>0.98</v>
      </c>
      <c r="I5" s="27">
        <v>0.98</v>
      </c>
      <c r="J5" s="27">
        <v>0.59</v>
      </c>
      <c r="K5" s="27">
        <v>0.59</v>
      </c>
      <c r="L5" s="27">
        <v>0.59</v>
      </c>
      <c r="M5" s="27">
        <v>0.59</v>
      </c>
      <c r="N5" s="44">
        <v>0.59</v>
      </c>
      <c r="O5" s="44">
        <v>0.59</v>
      </c>
      <c r="P5" s="44">
        <v>0.59</v>
      </c>
      <c r="Q5" s="44">
        <v>0.59</v>
      </c>
      <c r="R5" s="44">
        <v>0.59</v>
      </c>
      <c r="S5" s="44">
        <v>0.59</v>
      </c>
      <c r="T5" s="44">
        <v>0.59</v>
      </c>
      <c r="U5" s="44">
        <v>0.59</v>
      </c>
      <c r="V5" s="44">
        <v>0.59</v>
      </c>
    </row>
    <row r="6" spans="2:22" ht="16" x14ac:dyDescent="0.2">
      <c r="B6" s="38" t="s">
        <v>4</v>
      </c>
      <c r="C6" s="39" t="s">
        <v>22</v>
      </c>
      <c r="D6" s="27">
        <v>0.75</v>
      </c>
      <c r="E6" s="27">
        <v>0.78</v>
      </c>
      <c r="F6" s="27">
        <v>0.9</v>
      </c>
      <c r="G6" s="27">
        <v>0.97</v>
      </c>
      <c r="H6" s="27">
        <v>0.97</v>
      </c>
      <c r="I6" s="27">
        <v>0.97</v>
      </c>
      <c r="J6" s="27">
        <v>0.5</v>
      </c>
      <c r="K6" s="27">
        <v>0.5</v>
      </c>
      <c r="L6" s="27">
        <v>0.5</v>
      </c>
      <c r="M6" s="27">
        <v>0.5</v>
      </c>
      <c r="N6" s="44">
        <v>0.5</v>
      </c>
      <c r="O6" s="44">
        <v>0.5</v>
      </c>
      <c r="P6" s="44">
        <v>0.5</v>
      </c>
      <c r="Q6" s="44">
        <v>0.5</v>
      </c>
      <c r="R6" s="44">
        <v>0.5</v>
      </c>
      <c r="S6" s="44">
        <v>0.5</v>
      </c>
      <c r="T6" s="44">
        <v>0.5</v>
      </c>
      <c r="U6" s="44">
        <v>0.5</v>
      </c>
      <c r="V6" s="44">
        <v>0.5</v>
      </c>
    </row>
    <row r="7" spans="2:22" ht="16" x14ac:dyDescent="0.2">
      <c r="B7" s="38" t="s">
        <v>4</v>
      </c>
      <c r="C7" s="39" t="s">
        <v>23</v>
      </c>
      <c r="D7" s="27">
        <v>0.75</v>
      </c>
      <c r="E7" s="27">
        <v>0.78</v>
      </c>
      <c r="F7" s="27">
        <v>0.9</v>
      </c>
      <c r="G7" s="27">
        <v>0.99</v>
      </c>
      <c r="H7" s="27">
        <v>0.99</v>
      </c>
      <c r="I7" s="27">
        <v>0.99</v>
      </c>
      <c r="J7" s="27">
        <v>0.74</v>
      </c>
      <c r="K7" s="27">
        <v>0.74</v>
      </c>
      <c r="L7" s="27">
        <v>0.74</v>
      </c>
      <c r="M7" s="27">
        <v>0.75</v>
      </c>
      <c r="N7" s="44">
        <v>0.75</v>
      </c>
      <c r="O7" s="44">
        <v>0.77</v>
      </c>
      <c r="P7" s="44">
        <v>0.77</v>
      </c>
      <c r="Q7" s="44">
        <v>0.77</v>
      </c>
      <c r="R7" s="44">
        <v>0.79</v>
      </c>
      <c r="S7" s="44">
        <v>0.76</v>
      </c>
      <c r="T7" s="44">
        <v>0.76</v>
      </c>
      <c r="U7" s="44">
        <v>0.76</v>
      </c>
      <c r="V7" s="44">
        <v>0.77</v>
      </c>
    </row>
    <row r="8" spans="2:22" ht="16" x14ac:dyDescent="0.2">
      <c r="B8" s="38" t="s">
        <v>4</v>
      </c>
      <c r="C8" s="39" t="s">
        <v>24</v>
      </c>
      <c r="D8" s="27">
        <v>0.75</v>
      </c>
      <c r="E8" s="27">
        <v>0.78</v>
      </c>
      <c r="F8" s="27">
        <v>0.9</v>
      </c>
      <c r="G8" s="27">
        <v>0.94</v>
      </c>
      <c r="H8" s="27">
        <v>0.94</v>
      </c>
      <c r="I8" s="27">
        <v>0.94</v>
      </c>
      <c r="J8" s="27">
        <v>0.47</v>
      </c>
      <c r="K8" s="27">
        <v>0.47</v>
      </c>
      <c r="L8" s="27">
        <v>0.47</v>
      </c>
      <c r="M8" s="27">
        <v>0.47</v>
      </c>
      <c r="N8" s="44">
        <v>0.47</v>
      </c>
      <c r="O8" s="44">
        <v>0.47</v>
      </c>
      <c r="P8" s="44">
        <v>0.47</v>
      </c>
      <c r="Q8" s="44">
        <v>0.47</v>
      </c>
      <c r="R8" s="44">
        <v>0.47</v>
      </c>
      <c r="S8" s="44">
        <v>0.47</v>
      </c>
      <c r="T8" s="44">
        <v>0.47</v>
      </c>
      <c r="U8" s="44">
        <v>0.47</v>
      </c>
      <c r="V8" s="44">
        <v>0.47</v>
      </c>
    </row>
    <row r="9" spans="2:22" ht="16" x14ac:dyDescent="0.2">
      <c r="B9" s="38" t="s">
        <v>4</v>
      </c>
      <c r="C9" s="39" t="s">
        <v>25</v>
      </c>
      <c r="D9" s="27">
        <v>0.75</v>
      </c>
      <c r="E9" s="27">
        <v>0.78</v>
      </c>
      <c r="F9" s="27">
        <v>0.9</v>
      </c>
      <c r="G9" s="27">
        <v>0.96</v>
      </c>
      <c r="H9" s="27">
        <v>0.96</v>
      </c>
      <c r="I9" s="27">
        <v>0.96</v>
      </c>
      <c r="J9" s="27">
        <v>0.45</v>
      </c>
      <c r="K9" s="27">
        <v>0.45</v>
      </c>
      <c r="L9" s="27">
        <v>0.45</v>
      </c>
      <c r="M9" s="27">
        <v>0.45</v>
      </c>
      <c r="N9" s="44">
        <v>0.45</v>
      </c>
      <c r="O9" s="44">
        <v>0.45</v>
      </c>
      <c r="P9" s="44">
        <v>0.45</v>
      </c>
      <c r="Q9" s="44">
        <v>0.45</v>
      </c>
      <c r="R9" s="44">
        <v>0.45</v>
      </c>
      <c r="S9" s="44">
        <v>0.45</v>
      </c>
      <c r="T9" s="44">
        <v>0.45</v>
      </c>
      <c r="U9" s="44">
        <v>0.45</v>
      </c>
      <c r="V9" s="44">
        <v>0.45</v>
      </c>
    </row>
    <row r="10" spans="2:22" ht="16" x14ac:dyDescent="0.2">
      <c r="B10" s="38" t="s">
        <v>4</v>
      </c>
      <c r="C10" s="39" t="s">
        <v>26</v>
      </c>
      <c r="D10" s="27">
        <v>0.75</v>
      </c>
      <c r="E10" s="27">
        <v>0.78</v>
      </c>
      <c r="F10" s="27">
        <v>0.9</v>
      </c>
      <c r="G10" s="27">
        <v>0.92</v>
      </c>
      <c r="H10" s="27">
        <v>0.92</v>
      </c>
      <c r="I10" s="27">
        <v>0.92</v>
      </c>
      <c r="J10" s="27">
        <v>0.92</v>
      </c>
      <c r="K10" s="27">
        <v>0.92</v>
      </c>
      <c r="L10" s="27">
        <v>0.92</v>
      </c>
      <c r="M10" s="27">
        <v>0.92</v>
      </c>
      <c r="N10" s="44">
        <v>0.92</v>
      </c>
      <c r="O10" s="44">
        <v>0.92</v>
      </c>
      <c r="P10" s="44">
        <v>0.92</v>
      </c>
      <c r="Q10" s="44">
        <v>0.92</v>
      </c>
      <c r="R10" s="44">
        <v>0.92</v>
      </c>
      <c r="S10" s="44">
        <v>0.92</v>
      </c>
      <c r="T10" s="44">
        <v>0.92</v>
      </c>
      <c r="U10" s="44">
        <v>0.92</v>
      </c>
      <c r="V10" s="44">
        <v>0.92</v>
      </c>
    </row>
    <row r="11" spans="2:22" ht="16" x14ac:dyDescent="0.2">
      <c r="B11" s="38" t="s">
        <v>4</v>
      </c>
      <c r="C11" s="39" t="s">
        <v>27</v>
      </c>
      <c r="D11" s="27">
        <v>0.75</v>
      </c>
      <c r="E11" s="27">
        <v>0.78</v>
      </c>
      <c r="F11" s="27">
        <v>0.9</v>
      </c>
      <c r="G11" s="27">
        <v>0.98</v>
      </c>
      <c r="H11" s="27">
        <v>0.98</v>
      </c>
      <c r="I11" s="27">
        <v>0.98</v>
      </c>
      <c r="J11" s="27">
        <v>0.62</v>
      </c>
      <c r="K11" s="27">
        <v>0.62</v>
      </c>
      <c r="L11" s="27">
        <v>0.62</v>
      </c>
      <c r="M11" s="27">
        <v>0.62</v>
      </c>
      <c r="N11" s="44">
        <v>0.62</v>
      </c>
      <c r="O11" s="44">
        <v>0.62</v>
      </c>
      <c r="P11" s="44">
        <v>0.62</v>
      </c>
      <c r="Q11" s="44">
        <v>0.62</v>
      </c>
      <c r="R11" s="44">
        <v>0.62</v>
      </c>
      <c r="S11" s="44">
        <v>0.62</v>
      </c>
      <c r="T11" s="44">
        <v>0.62</v>
      </c>
      <c r="U11" s="44">
        <v>0.62</v>
      </c>
      <c r="V11" s="44">
        <v>0.62</v>
      </c>
    </row>
    <row r="12" spans="2:22" ht="16" x14ac:dyDescent="0.2">
      <c r="B12" s="38" t="s">
        <v>4</v>
      </c>
      <c r="C12" s="39" t="s">
        <v>28</v>
      </c>
      <c r="D12" s="27">
        <v>0.75</v>
      </c>
      <c r="E12" s="27">
        <v>0.78</v>
      </c>
      <c r="F12" s="27">
        <v>0.9</v>
      </c>
      <c r="G12" s="27">
        <v>0.94</v>
      </c>
      <c r="H12" s="27">
        <v>0.94</v>
      </c>
      <c r="I12" s="27">
        <v>0.94</v>
      </c>
      <c r="J12" s="27">
        <v>0.94</v>
      </c>
      <c r="K12" s="27">
        <v>0.94</v>
      </c>
      <c r="L12" s="27">
        <v>0.94</v>
      </c>
      <c r="M12" s="27">
        <v>0.94</v>
      </c>
      <c r="N12" s="44">
        <v>0.94</v>
      </c>
      <c r="O12" s="44">
        <v>0.94</v>
      </c>
      <c r="P12" s="44">
        <v>0.94</v>
      </c>
      <c r="Q12" s="44">
        <v>0.94</v>
      </c>
      <c r="R12" s="44">
        <v>0.94</v>
      </c>
      <c r="S12" s="44">
        <v>0.94</v>
      </c>
      <c r="T12" s="44">
        <v>0.94</v>
      </c>
      <c r="U12" s="44">
        <v>0.94</v>
      </c>
      <c r="V12" s="44">
        <v>0.94</v>
      </c>
    </row>
    <row r="13" spans="2:22" ht="16" x14ac:dyDescent="0.2">
      <c r="B13" s="38" t="s">
        <v>4</v>
      </c>
      <c r="C13" s="39" t="s">
        <v>29</v>
      </c>
      <c r="D13" s="27">
        <v>0.75</v>
      </c>
      <c r="E13" s="27">
        <v>0.78</v>
      </c>
      <c r="F13" s="27">
        <v>0.9</v>
      </c>
      <c r="G13" s="27">
        <v>0.98</v>
      </c>
      <c r="H13" s="27">
        <v>0.98</v>
      </c>
      <c r="I13" s="27">
        <v>0.98</v>
      </c>
      <c r="J13" s="27">
        <v>0.53</v>
      </c>
      <c r="K13" s="27">
        <v>0.53</v>
      </c>
      <c r="L13" s="27">
        <v>0.53</v>
      </c>
      <c r="M13" s="27">
        <v>0.53</v>
      </c>
      <c r="N13" s="44">
        <v>0.53</v>
      </c>
      <c r="O13" s="44">
        <v>0.53</v>
      </c>
      <c r="P13" s="44">
        <v>0.53</v>
      </c>
      <c r="Q13" s="44">
        <v>0.53</v>
      </c>
      <c r="R13" s="44">
        <v>0.53</v>
      </c>
      <c r="S13" s="44">
        <v>0.53</v>
      </c>
      <c r="T13" s="44">
        <v>0.53</v>
      </c>
      <c r="U13" s="44">
        <v>0.53</v>
      </c>
      <c r="V13" s="44">
        <v>0.53</v>
      </c>
    </row>
  </sheetData>
  <mergeCells count="1">
    <mergeCell ref="B3:V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E99E-41C2-4FFE-BEA3-E7072EC4D747}">
  <dimension ref="B2:M10"/>
  <sheetViews>
    <sheetView zoomScale="156" zoomScaleNormal="80" workbookViewId="0">
      <selection activeCell="H1" sqref="H1:H1048576"/>
    </sheetView>
  </sheetViews>
  <sheetFormatPr baseColWidth="10" defaultColWidth="11.5" defaultRowHeight="15" x14ac:dyDescent="0.2"/>
  <cols>
    <col min="1" max="1" width="11.5" style="24"/>
    <col min="2" max="2" width="42.6640625" style="24" customWidth="1"/>
    <col min="3" max="3" width="7" style="24" bestFit="1" customWidth="1"/>
    <col min="4" max="7" width="0" style="24" hidden="1" customWidth="1"/>
    <col min="8" max="8" width="0.1640625" style="24" hidden="1" customWidth="1"/>
    <col min="9" max="9" width="6.5" style="24" bestFit="1" customWidth="1"/>
    <col min="10" max="11" width="7.1640625" style="24" bestFit="1" customWidth="1"/>
    <col min="12" max="12" width="8" style="24" bestFit="1" customWidth="1"/>
    <col min="13" max="13" width="7.1640625" style="24" bestFit="1" customWidth="1"/>
    <col min="14" max="16384" width="11.5" style="24"/>
  </cols>
  <sheetData>
    <row r="2" spans="2:13" x14ac:dyDescent="0.2">
      <c r="B2" s="23" t="s">
        <v>30</v>
      </c>
      <c r="C2" s="23" t="s">
        <v>31</v>
      </c>
    </row>
    <row r="3" spans="2:13" x14ac:dyDescent="0.2">
      <c r="B3" s="25" t="s">
        <v>32</v>
      </c>
      <c r="C3" s="26">
        <v>0.99299999999999999</v>
      </c>
    </row>
    <row r="4" spans="2:13" x14ac:dyDescent="0.2">
      <c r="B4" s="25" t="s">
        <v>33</v>
      </c>
      <c r="C4" s="27">
        <v>0.9</v>
      </c>
    </row>
    <row r="5" spans="2:13" x14ac:dyDescent="0.2">
      <c r="B5" s="25" t="s">
        <v>34</v>
      </c>
      <c r="C5" s="27">
        <v>0.8</v>
      </c>
    </row>
    <row r="7" spans="2:13" ht="16" x14ac:dyDescent="0.2">
      <c r="B7" s="28" t="s">
        <v>30</v>
      </c>
      <c r="C7" s="46" t="s">
        <v>31</v>
      </c>
      <c r="D7" s="47">
        <v>45901</v>
      </c>
      <c r="E7" s="47">
        <v>45931</v>
      </c>
      <c r="F7" s="47">
        <v>45962</v>
      </c>
      <c r="G7" s="47">
        <v>45992</v>
      </c>
      <c r="H7" s="47">
        <v>46023</v>
      </c>
      <c r="I7" s="47">
        <v>46054</v>
      </c>
      <c r="J7" s="47">
        <v>46082</v>
      </c>
      <c r="K7" s="47">
        <v>46113</v>
      </c>
      <c r="L7" s="47">
        <v>46143</v>
      </c>
      <c r="M7" s="47">
        <v>46174</v>
      </c>
    </row>
    <row r="8" spans="2:13" x14ac:dyDescent="0.2">
      <c r="B8" s="25" t="s">
        <v>32</v>
      </c>
      <c r="C8" s="45">
        <v>0.99299999999999999</v>
      </c>
      <c r="D8" s="44">
        <v>1</v>
      </c>
      <c r="E8" s="44">
        <v>1</v>
      </c>
      <c r="F8" s="45">
        <v>0.98019999999999996</v>
      </c>
      <c r="G8" s="44">
        <v>1</v>
      </c>
      <c r="H8" s="45">
        <v>0.99929999999999997</v>
      </c>
      <c r="I8" s="44">
        <v>1</v>
      </c>
      <c r="J8" s="44">
        <v>1</v>
      </c>
      <c r="K8" s="44">
        <v>1</v>
      </c>
      <c r="L8" s="44">
        <v>1</v>
      </c>
      <c r="M8" s="44">
        <v>1</v>
      </c>
    </row>
    <row r="9" spans="2:13" x14ac:dyDescent="0.2">
      <c r="B9" s="25" t="s">
        <v>94</v>
      </c>
      <c r="C9" s="44">
        <v>0.95</v>
      </c>
      <c r="D9" s="44">
        <v>1</v>
      </c>
      <c r="E9" s="44">
        <v>1</v>
      </c>
      <c r="F9" s="44">
        <v>0.96</v>
      </c>
      <c r="G9" s="44">
        <v>1</v>
      </c>
      <c r="H9" s="44">
        <v>1</v>
      </c>
      <c r="I9" s="44">
        <v>1</v>
      </c>
      <c r="J9" s="44">
        <v>1</v>
      </c>
      <c r="K9" s="44">
        <v>1</v>
      </c>
      <c r="L9" s="44">
        <v>1</v>
      </c>
      <c r="M9" s="44">
        <v>1</v>
      </c>
    </row>
    <row r="10" spans="2:13" x14ac:dyDescent="0.2">
      <c r="B10" s="25" t="s">
        <v>34</v>
      </c>
      <c r="C10" s="44">
        <v>0.9</v>
      </c>
      <c r="D10" s="44">
        <v>1</v>
      </c>
      <c r="E10" s="44">
        <v>1</v>
      </c>
      <c r="F10" s="44">
        <v>1</v>
      </c>
      <c r="G10" s="44">
        <v>1</v>
      </c>
      <c r="H10" s="44">
        <v>1</v>
      </c>
      <c r="I10" s="44">
        <v>1</v>
      </c>
      <c r="J10" s="44">
        <v>1</v>
      </c>
      <c r="K10" s="44">
        <v>1</v>
      </c>
      <c r="L10" s="44">
        <v>1</v>
      </c>
      <c r="M10" s="4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B832-2B35-4497-8F3E-0920B6E48370}">
  <dimension ref="B2:U29"/>
  <sheetViews>
    <sheetView tabSelected="1" topLeftCell="A9" zoomScale="125" zoomScaleNormal="80" workbookViewId="0">
      <selection activeCell="O34" sqref="O34"/>
    </sheetView>
  </sheetViews>
  <sheetFormatPr baseColWidth="10" defaultColWidth="11.5" defaultRowHeight="15" x14ac:dyDescent="0.2"/>
  <cols>
    <col min="1" max="1" width="11.5" style="14"/>
    <col min="2" max="2" width="28.5" style="14" bestFit="1" customWidth="1"/>
    <col min="3" max="5" width="0" style="14" hidden="1" customWidth="1"/>
    <col min="6" max="16384" width="11.5" style="14"/>
  </cols>
  <sheetData>
    <row r="2" spans="2:6" x14ac:dyDescent="0.2">
      <c r="B2" s="14" t="s">
        <v>83</v>
      </c>
      <c r="C2" s="10" t="s">
        <v>35</v>
      </c>
      <c r="D2" s="10" t="s">
        <v>36</v>
      </c>
      <c r="E2" s="10" t="s">
        <v>37</v>
      </c>
      <c r="F2" s="10" t="s">
        <v>93</v>
      </c>
    </row>
    <row r="3" spans="2:6" x14ac:dyDescent="0.2">
      <c r="B3" s="30" t="s">
        <v>38</v>
      </c>
      <c r="C3" s="31"/>
      <c r="D3" s="31">
        <v>7</v>
      </c>
      <c r="E3" s="31">
        <v>5</v>
      </c>
      <c r="F3" s="10">
        <v>0</v>
      </c>
    </row>
    <row r="4" spans="2:6" hidden="1" x14ac:dyDescent="0.2">
      <c r="B4" s="30" t="s">
        <v>39</v>
      </c>
      <c r="C4" s="10">
        <v>1</v>
      </c>
      <c r="D4" s="10">
        <v>1</v>
      </c>
      <c r="E4" s="10">
        <v>2</v>
      </c>
      <c r="F4" s="10">
        <v>0</v>
      </c>
    </row>
    <row r="5" spans="2:6" x14ac:dyDescent="0.2">
      <c r="B5" s="30" t="s">
        <v>40</v>
      </c>
      <c r="C5" s="10">
        <v>1</v>
      </c>
      <c r="D5" s="10"/>
      <c r="E5" s="10">
        <v>1</v>
      </c>
      <c r="F5" s="10">
        <v>0</v>
      </c>
    </row>
    <row r="6" spans="2:6" x14ac:dyDescent="0.2">
      <c r="B6" s="30" t="s">
        <v>79</v>
      </c>
      <c r="C6" s="10">
        <v>6</v>
      </c>
      <c r="D6" s="10"/>
      <c r="E6" s="10"/>
      <c r="F6" s="10">
        <v>0</v>
      </c>
    </row>
    <row r="7" spans="2:6" x14ac:dyDescent="0.2">
      <c r="B7" s="30" t="s">
        <v>81</v>
      </c>
      <c r="C7" s="10">
        <v>1</v>
      </c>
      <c r="D7" s="10"/>
      <c r="E7" s="10"/>
      <c r="F7" s="10">
        <v>0</v>
      </c>
    </row>
    <row r="8" spans="2:6" x14ac:dyDescent="0.2">
      <c r="B8" s="30" t="s">
        <v>80</v>
      </c>
      <c r="C8" s="10"/>
      <c r="D8" s="10">
        <v>8</v>
      </c>
      <c r="E8" s="10">
        <v>10</v>
      </c>
      <c r="F8" s="10">
        <v>0</v>
      </c>
    </row>
    <row r="9" spans="2:6" x14ac:dyDescent="0.2">
      <c r="B9" s="30" t="s">
        <v>82</v>
      </c>
      <c r="C9" s="10">
        <v>42</v>
      </c>
      <c r="D9" s="10">
        <v>46</v>
      </c>
      <c r="E9" s="10">
        <v>21</v>
      </c>
      <c r="F9" s="10">
        <v>0</v>
      </c>
    </row>
    <row r="10" spans="2:6" hidden="1" x14ac:dyDescent="0.2">
      <c r="B10" s="30" t="s">
        <v>41</v>
      </c>
      <c r="C10" s="10"/>
      <c r="D10" s="10">
        <v>5</v>
      </c>
      <c r="E10" s="10">
        <v>2</v>
      </c>
      <c r="F10" s="10">
        <v>0</v>
      </c>
    </row>
    <row r="11" spans="2:6" hidden="1" x14ac:dyDescent="0.2">
      <c r="B11" s="30" t="s">
        <v>42</v>
      </c>
      <c r="C11" s="10"/>
      <c r="D11" s="10">
        <v>18</v>
      </c>
      <c r="E11" s="10">
        <v>5</v>
      </c>
      <c r="F11" s="10">
        <v>0</v>
      </c>
    </row>
    <row r="12" spans="2:6" x14ac:dyDescent="0.2">
      <c r="B12" s="30" t="s">
        <v>85</v>
      </c>
      <c r="C12" s="30">
        <v>51</v>
      </c>
      <c r="D12" s="30">
        <v>85</v>
      </c>
      <c r="E12" s="30">
        <v>46</v>
      </c>
      <c r="F12" s="10">
        <v>0</v>
      </c>
    </row>
    <row r="13" spans="2:6" x14ac:dyDescent="0.2">
      <c r="B13" s="30" t="s">
        <v>86</v>
      </c>
      <c r="C13" s="30"/>
      <c r="D13" s="30"/>
      <c r="E13" s="30"/>
      <c r="F13" s="10">
        <v>0</v>
      </c>
    </row>
    <row r="14" spans="2:6" x14ac:dyDescent="0.2">
      <c r="B14" s="30" t="s">
        <v>87</v>
      </c>
      <c r="C14" s="30"/>
      <c r="D14" s="30"/>
      <c r="E14" s="30"/>
      <c r="F14" s="10">
        <v>0</v>
      </c>
    </row>
    <row r="15" spans="2:6" x14ac:dyDescent="0.2">
      <c r="B15" s="30" t="s">
        <v>88</v>
      </c>
      <c r="C15" s="30"/>
      <c r="D15" s="30"/>
      <c r="E15" s="30"/>
      <c r="F15" s="10">
        <v>0</v>
      </c>
    </row>
    <row r="16" spans="2:6" x14ac:dyDescent="0.2">
      <c r="B16" s="30" t="s">
        <v>89</v>
      </c>
      <c r="C16" s="30"/>
      <c r="D16" s="30"/>
      <c r="E16" s="30"/>
      <c r="F16" s="10">
        <v>0</v>
      </c>
    </row>
    <row r="17" spans="2:21" x14ac:dyDescent="0.2">
      <c r="B17" s="30" t="s">
        <v>90</v>
      </c>
      <c r="C17" s="30"/>
      <c r="D17" s="30"/>
      <c r="E17" s="30"/>
      <c r="F17" s="10">
        <v>0</v>
      </c>
    </row>
    <row r="18" spans="2:21" x14ac:dyDescent="0.2">
      <c r="B18" s="30" t="s">
        <v>91</v>
      </c>
      <c r="C18" s="30"/>
      <c r="D18" s="30"/>
      <c r="E18" s="30"/>
      <c r="F18" s="10">
        <v>0</v>
      </c>
    </row>
    <row r="19" spans="2:21" x14ac:dyDescent="0.2">
      <c r="B19" s="30" t="s">
        <v>92</v>
      </c>
      <c r="C19" s="30"/>
      <c r="D19" s="30"/>
      <c r="E19" s="30"/>
      <c r="F19" s="10">
        <v>0</v>
      </c>
    </row>
    <row r="20" spans="2:21" x14ac:dyDescent="0.2">
      <c r="B20" s="68" t="s">
        <v>95</v>
      </c>
      <c r="C20" s="68"/>
      <c r="D20" s="68"/>
      <c r="E20" s="68"/>
      <c r="F20" s="69">
        <v>30</v>
      </c>
    </row>
    <row r="21" spans="2:21" x14ac:dyDescent="0.2">
      <c r="B21" s="68"/>
      <c r="C21" s="68"/>
      <c r="D21" s="68"/>
      <c r="E21" s="68"/>
      <c r="F21" s="69"/>
    </row>
    <row r="22" spans="2:21" x14ac:dyDescent="0.2">
      <c r="B22" s="68"/>
      <c r="C22" s="68"/>
      <c r="D22" s="68"/>
      <c r="E22" s="68"/>
      <c r="F22" s="69"/>
    </row>
    <row r="23" spans="2:21" x14ac:dyDescent="0.2">
      <c r="B23" s="68"/>
      <c r="C23" s="68"/>
      <c r="D23" s="68"/>
      <c r="E23" s="68"/>
      <c r="F23" s="69"/>
    </row>
    <row r="24" spans="2:21" x14ac:dyDescent="0.2">
      <c r="B24" s="68"/>
      <c r="C24" s="68"/>
      <c r="D24" s="68"/>
      <c r="E24" s="68"/>
      <c r="F24" s="69"/>
    </row>
    <row r="26" spans="2:21" x14ac:dyDescent="0.2">
      <c r="B26" s="10" t="s">
        <v>43</v>
      </c>
      <c r="C26" s="16">
        <v>45627</v>
      </c>
      <c r="D26" s="16">
        <v>45658</v>
      </c>
      <c r="E26" s="16">
        <v>45689</v>
      </c>
      <c r="F26" s="16">
        <v>45717</v>
      </c>
      <c r="G26" s="16">
        <v>45748</v>
      </c>
      <c r="H26" s="43">
        <v>45778</v>
      </c>
      <c r="I26" s="43">
        <v>45809</v>
      </c>
      <c r="J26" s="43">
        <v>45839</v>
      </c>
      <c r="K26" s="43">
        <v>45870</v>
      </c>
      <c r="L26" s="43">
        <v>45901</v>
      </c>
      <c r="M26" s="43">
        <v>45931</v>
      </c>
      <c r="N26" s="43">
        <v>45962</v>
      </c>
      <c r="O26" s="43">
        <v>45992</v>
      </c>
      <c r="P26" s="43">
        <v>46023</v>
      </c>
      <c r="Q26" s="43">
        <v>46054</v>
      </c>
      <c r="R26" s="43">
        <v>46082</v>
      </c>
      <c r="S26" s="43">
        <v>46113</v>
      </c>
      <c r="T26" s="43">
        <v>46143</v>
      </c>
      <c r="U26" s="43">
        <v>46174</v>
      </c>
    </row>
    <row r="27" spans="2:21" x14ac:dyDescent="0.2">
      <c r="B27" s="10" t="s">
        <v>44</v>
      </c>
      <c r="C27" s="41">
        <v>1</v>
      </c>
      <c r="D27" s="42">
        <v>1</v>
      </c>
      <c r="E27" s="42">
        <v>0</v>
      </c>
      <c r="F27" s="11">
        <v>0</v>
      </c>
      <c r="G27" s="11">
        <v>0</v>
      </c>
      <c r="H27" s="11">
        <v>1</v>
      </c>
      <c r="I27" s="11">
        <v>2</v>
      </c>
      <c r="J27" s="11">
        <v>28</v>
      </c>
      <c r="K27" s="10">
        <v>51</v>
      </c>
      <c r="L27" s="10">
        <v>56</v>
      </c>
      <c r="M27" s="10">
        <v>59</v>
      </c>
      <c r="N27" s="10">
        <v>47</v>
      </c>
      <c r="O27" s="10">
        <v>66</v>
      </c>
      <c r="P27" s="10">
        <v>74</v>
      </c>
      <c r="Q27" s="10">
        <v>70</v>
      </c>
      <c r="R27" s="10">
        <v>83</v>
      </c>
      <c r="S27" s="10">
        <v>54</v>
      </c>
      <c r="T27" s="10">
        <v>30</v>
      </c>
      <c r="U27" s="70">
        <v>49</v>
      </c>
    </row>
    <row r="28" spans="2:21" x14ac:dyDescent="0.2">
      <c r="B28" s="10" t="s">
        <v>45</v>
      </c>
      <c r="C28" s="41">
        <v>2</v>
      </c>
      <c r="D28" s="42">
        <v>5</v>
      </c>
      <c r="E28" s="42">
        <v>9</v>
      </c>
      <c r="F28" s="11">
        <v>1</v>
      </c>
      <c r="G28" s="11">
        <v>3</v>
      </c>
      <c r="H28" s="11">
        <v>3</v>
      </c>
      <c r="I28" s="11">
        <v>1</v>
      </c>
      <c r="J28" s="11">
        <v>5</v>
      </c>
      <c r="K28" s="10">
        <v>0</v>
      </c>
      <c r="L28" s="10">
        <v>1</v>
      </c>
      <c r="M28" s="10">
        <v>0</v>
      </c>
      <c r="N28" s="10">
        <v>1</v>
      </c>
      <c r="O28" s="10">
        <v>2</v>
      </c>
      <c r="P28" s="10">
        <v>5</v>
      </c>
      <c r="Q28" s="10">
        <v>1</v>
      </c>
      <c r="R28" s="10">
        <v>0</v>
      </c>
      <c r="S28" s="10">
        <v>3</v>
      </c>
      <c r="T28" s="10">
        <v>5</v>
      </c>
      <c r="U28" s="70">
        <v>0</v>
      </c>
    </row>
    <row r="29" spans="2:21" x14ac:dyDescent="0.2">
      <c r="B29" s="10" t="s">
        <v>46</v>
      </c>
      <c r="C29" s="11">
        <v>0</v>
      </c>
      <c r="D29" s="11">
        <v>0</v>
      </c>
      <c r="E29" s="11">
        <v>0</v>
      </c>
      <c r="F29" s="11">
        <v>0</v>
      </c>
      <c r="G29" s="11">
        <v>0</v>
      </c>
      <c r="H29" s="11">
        <v>0</v>
      </c>
      <c r="I29" s="11">
        <v>0</v>
      </c>
      <c r="J29" s="11">
        <v>0</v>
      </c>
      <c r="K29" s="10">
        <v>0</v>
      </c>
      <c r="L29" s="10">
        <v>0</v>
      </c>
      <c r="M29" s="10">
        <v>0</v>
      </c>
      <c r="N29" s="10">
        <v>1</v>
      </c>
      <c r="O29" s="10">
        <v>0</v>
      </c>
      <c r="P29" s="10">
        <v>1</v>
      </c>
      <c r="Q29" s="10">
        <v>0</v>
      </c>
      <c r="R29" s="10">
        <v>0</v>
      </c>
      <c r="S29" s="10">
        <v>1</v>
      </c>
      <c r="T29" s="10">
        <v>0</v>
      </c>
      <c r="U29" s="70">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2DB4-2B11-46E6-AA07-F83D85160E9D}">
  <dimension ref="B2:V29"/>
  <sheetViews>
    <sheetView showGridLines="0" workbookViewId="0">
      <selection activeCell="W31" sqref="W31"/>
    </sheetView>
  </sheetViews>
  <sheetFormatPr baseColWidth="10" defaultColWidth="11.5" defaultRowHeight="15" x14ac:dyDescent="0.2"/>
  <cols>
    <col min="1" max="1" width="11.5" style="14"/>
    <col min="2" max="2" width="20" style="14" customWidth="1"/>
    <col min="3" max="3" width="13" style="14" bestFit="1" customWidth="1"/>
    <col min="4" max="4" width="13" style="14" hidden="1" customWidth="1"/>
    <col min="5" max="16" width="0" style="14" hidden="1" customWidth="1"/>
    <col min="17" max="16384" width="11.5" style="14"/>
  </cols>
  <sheetData>
    <row r="2" spans="2:22" x14ac:dyDescent="0.2">
      <c r="C2" s="15"/>
    </row>
    <row r="3" spans="2:22" x14ac:dyDescent="0.2">
      <c r="B3" s="10" t="s">
        <v>47</v>
      </c>
      <c r="C3" s="11" t="s">
        <v>48</v>
      </c>
      <c r="D3" s="10" t="s">
        <v>49</v>
      </c>
    </row>
    <row r="4" spans="2:22" x14ac:dyDescent="0.2">
      <c r="B4" s="12" t="s">
        <v>50</v>
      </c>
      <c r="C4" s="11">
        <v>216</v>
      </c>
      <c r="D4" s="10">
        <v>106</v>
      </c>
    </row>
    <row r="5" spans="2:22" x14ac:dyDescent="0.2">
      <c r="B5" s="13" t="s">
        <v>51</v>
      </c>
      <c r="C5" s="11">
        <v>6</v>
      </c>
      <c r="D5" s="10">
        <v>2</v>
      </c>
    </row>
    <row r="13" spans="2:22" x14ac:dyDescent="0.2">
      <c r="B13" s="17" t="s">
        <v>52</v>
      </c>
      <c r="C13" s="17" t="s">
        <v>53</v>
      </c>
      <c r="D13" s="18">
        <v>45627</v>
      </c>
      <c r="E13" s="18">
        <v>45658</v>
      </c>
      <c r="F13" s="18">
        <v>45689</v>
      </c>
      <c r="G13" s="18">
        <v>45717</v>
      </c>
      <c r="H13" s="18">
        <v>45748</v>
      </c>
      <c r="I13" s="18">
        <v>45778</v>
      </c>
      <c r="J13" s="18">
        <v>45809</v>
      </c>
      <c r="K13" s="18">
        <v>45839</v>
      </c>
      <c r="L13" s="18">
        <v>45870</v>
      </c>
      <c r="M13" s="18">
        <v>45901</v>
      </c>
      <c r="N13" s="18">
        <v>45931</v>
      </c>
      <c r="O13" s="18">
        <v>45962</v>
      </c>
      <c r="P13" s="18">
        <v>45992</v>
      </c>
      <c r="Q13" s="18">
        <v>46023</v>
      </c>
      <c r="R13" s="18">
        <v>46054</v>
      </c>
      <c r="S13" s="18">
        <v>46082</v>
      </c>
      <c r="T13" s="18">
        <v>46113</v>
      </c>
      <c r="U13" s="18">
        <v>46143</v>
      </c>
      <c r="V13" s="18">
        <v>46174</v>
      </c>
    </row>
    <row r="14" spans="2:22" ht="16" x14ac:dyDescent="0.25">
      <c r="B14" s="35" t="s">
        <v>54</v>
      </c>
      <c r="C14" s="33">
        <v>21</v>
      </c>
      <c r="D14" s="34">
        <v>1</v>
      </c>
      <c r="E14" s="34">
        <v>1</v>
      </c>
      <c r="F14" s="34">
        <v>1</v>
      </c>
      <c r="G14" s="34">
        <v>1</v>
      </c>
      <c r="H14" s="34">
        <v>1</v>
      </c>
      <c r="I14" s="34">
        <v>1</v>
      </c>
      <c r="J14" s="34">
        <v>1</v>
      </c>
      <c r="K14" s="34">
        <v>1</v>
      </c>
      <c r="L14" s="34">
        <v>1</v>
      </c>
      <c r="M14" s="34">
        <v>1</v>
      </c>
      <c r="N14" s="34">
        <v>1</v>
      </c>
      <c r="O14" s="34">
        <v>1</v>
      </c>
      <c r="P14" s="34">
        <v>1</v>
      </c>
      <c r="Q14" s="34">
        <v>1</v>
      </c>
      <c r="R14" s="34">
        <v>1</v>
      </c>
      <c r="S14" s="34">
        <v>1</v>
      </c>
      <c r="T14" s="34">
        <v>1</v>
      </c>
      <c r="U14" s="34">
        <v>1</v>
      </c>
      <c r="V14" s="34">
        <v>1</v>
      </c>
    </row>
    <row r="15" spans="2:22" ht="16" x14ac:dyDescent="0.25">
      <c r="B15" s="35" t="s">
        <v>55</v>
      </c>
      <c r="C15" s="33">
        <v>2</v>
      </c>
      <c r="D15" s="34">
        <v>1</v>
      </c>
      <c r="E15" s="34">
        <v>1</v>
      </c>
      <c r="F15" s="36">
        <v>1</v>
      </c>
      <c r="G15" s="34">
        <v>1</v>
      </c>
      <c r="H15" s="34">
        <v>1</v>
      </c>
      <c r="I15" s="34">
        <v>1</v>
      </c>
      <c r="J15" s="34">
        <v>1</v>
      </c>
      <c r="K15" s="34">
        <v>1</v>
      </c>
      <c r="L15" s="34">
        <v>1</v>
      </c>
      <c r="M15" s="34">
        <v>1</v>
      </c>
      <c r="N15" s="34">
        <v>1</v>
      </c>
      <c r="O15" s="34">
        <v>1</v>
      </c>
      <c r="P15" s="34">
        <v>1</v>
      </c>
      <c r="Q15" s="34">
        <v>1</v>
      </c>
      <c r="R15" s="34">
        <v>1</v>
      </c>
      <c r="S15" s="34">
        <v>1</v>
      </c>
      <c r="T15" s="34">
        <v>1</v>
      </c>
      <c r="U15" s="34">
        <v>1</v>
      </c>
      <c r="V15" s="34">
        <v>1</v>
      </c>
    </row>
    <row r="16" spans="2:22" ht="16" x14ac:dyDescent="0.25">
      <c r="B16" s="35" t="s">
        <v>56</v>
      </c>
      <c r="C16" s="33">
        <v>40</v>
      </c>
      <c r="D16" s="34">
        <v>1</v>
      </c>
      <c r="E16" s="34">
        <v>1</v>
      </c>
      <c r="F16" s="34">
        <v>1</v>
      </c>
      <c r="G16" s="34">
        <v>1</v>
      </c>
      <c r="H16" s="34">
        <v>1</v>
      </c>
      <c r="I16" s="34">
        <v>1</v>
      </c>
      <c r="J16" s="34">
        <v>1</v>
      </c>
      <c r="K16" s="34">
        <v>1</v>
      </c>
      <c r="L16" s="34">
        <v>1</v>
      </c>
      <c r="M16" s="34">
        <v>1</v>
      </c>
      <c r="N16" s="34">
        <v>1</v>
      </c>
      <c r="O16" s="50">
        <v>0.98019999999999996</v>
      </c>
      <c r="P16" s="34">
        <v>1</v>
      </c>
      <c r="Q16" s="34">
        <v>1</v>
      </c>
      <c r="R16" s="50">
        <v>0.97319999999999995</v>
      </c>
      <c r="S16" s="36">
        <v>1</v>
      </c>
      <c r="T16" s="36">
        <v>1</v>
      </c>
      <c r="U16" s="36">
        <v>1</v>
      </c>
      <c r="V16" s="36">
        <v>1</v>
      </c>
    </row>
    <row r="17" spans="2:22" ht="16" x14ac:dyDescent="0.25">
      <c r="B17" s="35" t="s">
        <v>57</v>
      </c>
      <c r="C17" s="33">
        <v>3</v>
      </c>
      <c r="D17" s="34">
        <v>1</v>
      </c>
      <c r="E17" s="34">
        <v>1</v>
      </c>
      <c r="F17" s="34">
        <v>1</v>
      </c>
      <c r="G17" s="34">
        <v>1</v>
      </c>
      <c r="H17" s="34">
        <v>1</v>
      </c>
      <c r="I17" s="34">
        <v>1</v>
      </c>
      <c r="J17" s="34">
        <v>1</v>
      </c>
      <c r="K17" s="34">
        <v>1</v>
      </c>
      <c r="L17" s="34">
        <v>1</v>
      </c>
      <c r="M17" s="34">
        <v>1</v>
      </c>
      <c r="N17" s="34">
        <v>1</v>
      </c>
      <c r="O17" s="34">
        <v>1</v>
      </c>
      <c r="P17" s="34">
        <v>1</v>
      </c>
      <c r="Q17" s="34">
        <v>1</v>
      </c>
      <c r="R17" s="34">
        <v>1</v>
      </c>
      <c r="S17" s="34">
        <v>1</v>
      </c>
      <c r="T17" s="34">
        <v>1</v>
      </c>
      <c r="U17" s="34">
        <v>1</v>
      </c>
      <c r="V17" s="34">
        <v>1</v>
      </c>
    </row>
    <row r="19" spans="2:22" hidden="1" x14ac:dyDescent="0.2">
      <c r="Q19" s="14" t="s">
        <v>78</v>
      </c>
      <c r="R19" s="61">
        <f>+AVERAGE(K14:R17)</f>
        <v>0.99854374999999995</v>
      </c>
    </row>
    <row r="21" spans="2:22" x14ac:dyDescent="0.2">
      <c r="B21" s="17" t="s">
        <v>58</v>
      </c>
      <c r="C21" s="17" t="s">
        <v>53</v>
      </c>
      <c r="D21" s="18">
        <v>45627</v>
      </c>
      <c r="E21" s="18">
        <v>45658</v>
      </c>
      <c r="F21" s="18">
        <v>45689</v>
      </c>
      <c r="G21" s="18">
        <v>45717</v>
      </c>
      <c r="H21" s="18">
        <v>45748</v>
      </c>
      <c r="I21" s="18">
        <v>45778</v>
      </c>
      <c r="J21" s="18">
        <v>45809</v>
      </c>
      <c r="K21" s="18">
        <v>45839</v>
      </c>
      <c r="L21" s="18">
        <v>45870</v>
      </c>
      <c r="M21" s="18">
        <v>45901</v>
      </c>
      <c r="N21" s="18">
        <v>45931</v>
      </c>
      <c r="O21" s="18">
        <v>45962</v>
      </c>
      <c r="P21" s="18">
        <v>45992</v>
      </c>
      <c r="Q21" s="18">
        <v>46023</v>
      </c>
      <c r="R21" s="18">
        <v>46054</v>
      </c>
      <c r="S21" s="18">
        <v>46082</v>
      </c>
      <c r="T21" s="18">
        <v>46113</v>
      </c>
      <c r="U21" s="18">
        <v>46143</v>
      </c>
      <c r="V21" s="18">
        <v>46174</v>
      </c>
    </row>
    <row r="22" spans="2:22" ht="16" x14ac:dyDescent="0.25">
      <c r="B22" s="35" t="s">
        <v>54</v>
      </c>
      <c r="C22" s="33">
        <v>21</v>
      </c>
      <c r="D22" s="34">
        <v>1</v>
      </c>
      <c r="E22" s="34">
        <v>1</v>
      </c>
      <c r="F22" s="34">
        <v>1</v>
      </c>
      <c r="G22" s="34">
        <v>1</v>
      </c>
      <c r="H22" s="34">
        <v>1</v>
      </c>
      <c r="I22" s="34">
        <v>1</v>
      </c>
      <c r="J22" s="34">
        <v>1</v>
      </c>
      <c r="K22" s="34">
        <v>1</v>
      </c>
      <c r="L22" s="34">
        <v>1</v>
      </c>
      <c r="M22" s="34">
        <v>1</v>
      </c>
      <c r="N22" s="34">
        <v>1</v>
      </c>
      <c r="O22" s="34">
        <v>1</v>
      </c>
      <c r="P22" s="34">
        <v>1</v>
      </c>
      <c r="Q22" s="34">
        <v>1</v>
      </c>
      <c r="R22" s="34">
        <v>1</v>
      </c>
      <c r="S22" s="34">
        <v>1</v>
      </c>
      <c r="T22" s="34">
        <v>1</v>
      </c>
      <c r="U22" s="34">
        <v>1</v>
      </c>
      <c r="V22" s="34">
        <v>1</v>
      </c>
    </row>
    <row r="23" spans="2:22" ht="16" x14ac:dyDescent="0.25">
      <c r="B23" s="35" t="s">
        <v>55</v>
      </c>
      <c r="C23" s="33">
        <v>2</v>
      </c>
      <c r="D23" s="34">
        <v>1</v>
      </c>
      <c r="E23" s="34">
        <v>1</v>
      </c>
      <c r="F23" s="34">
        <v>1</v>
      </c>
      <c r="G23" s="34">
        <v>1</v>
      </c>
      <c r="H23" s="34">
        <v>1</v>
      </c>
      <c r="I23" s="34">
        <v>1</v>
      </c>
      <c r="J23" s="34">
        <v>1</v>
      </c>
      <c r="K23" s="34">
        <v>1</v>
      </c>
      <c r="L23" s="34">
        <v>1</v>
      </c>
      <c r="M23" s="34">
        <v>1</v>
      </c>
      <c r="N23" s="34">
        <v>1</v>
      </c>
      <c r="O23" s="34">
        <v>1</v>
      </c>
      <c r="P23" s="34">
        <v>1</v>
      </c>
      <c r="Q23" s="34">
        <v>1</v>
      </c>
      <c r="R23" s="34">
        <v>1</v>
      </c>
      <c r="S23" s="34">
        <v>1</v>
      </c>
      <c r="T23" s="34">
        <v>1</v>
      </c>
      <c r="U23" s="34">
        <v>1</v>
      </c>
      <c r="V23" s="34">
        <v>1</v>
      </c>
    </row>
    <row r="24" spans="2:22" ht="16" x14ac:dyDescent="0.25">
      <c r="B24" s="35" t="s">
        <v>56</v>
      </c>
      <c r="C24" s="33">
        <v>40</v>
      </c>
      <c r="D24" s="34">
        <v>1</v>
      </c>
      <c r="E24" s="34">
        <v>1</v>
      </c>
      <c r="F24" s="34">
        <v>1</v>
      </c>
      <c r="G24" s="34">
        <v>1</v>
      </c>
      <c r="H24" s="34">
        <v>1</v>
      </c>
      <c r="I24" s="34">
        <v>1</v>
      </c>
      <c r="J24" s="34">
        <v>1</v>
      </c>
      <c r="K24" s="58">
        <v>1</v>
      </c>
      <c r="L24" s="58">
        <v>1</v>
      </c>
      <c r="M24" s="58">
        <v>1</v>
      </c>
      <c r="N24" s="58">
        <v>1</v>
      </c>
      <c r="O24" s="59">
        <v>0.98019999999999996</v>
      </c>
      <c r="P24" s="58">
        <v>1</v>
      </c>
      <c r="Q24" s="60">
        <v>0.99929999999999997</v>
      </c>
      <c r="R24" s="58">
        <v>1</v>
      </c>
      <c r="S24" s="34">
        <v>1</v>
      </c>
      <c r="T24" s="34">
        <v>1</v>
      </c>
      <c r="U24" s="36">
        <v>1</v>
      </c>
      <c r="V24" s="36">
        <v>1</v>
      </c>
    </row>
    <row r="25" spans="2:22" ht="16" x14ac:dyDescent="0.25">
      <c r="B25" s="35" t="s">
        <v>57</v>
      </c>
      <c r="C25" s="33">
        <v>3</v>
      </c>
      <c r="D25" s="34">
        <v>1</v>
      </c>
      <c r="E25" s="34">
        <v>1</v>
      </c>
      <c r="F25" s="34">
        <v>1</v>
      </c>
      <c r="G25" s="34">
        <v>1</v>
      </c>
      <c r="H25" s="34">
        <v>1</v>
      </c>
      <c r="I25" s="34">
        <v>1</v>
      </c>
      <c r="J25" s="34">
        <v>1</v>
      </c>
      <c r="K25" s="34">
        <v>1</v>
      </c>
      <c r="L25" s="34">
        <v>1</v>
      </c>
      <c r="M25" s="34">
        <v>1</v>
      </c>
      <c r="N25" s="34">
        <v>1</v>
      </c>
      <c r="O25" s="34">
        <v>1</v>
      </c>
      <c r="P25" s="34">
        <v>1</v>
      </c>
      <c r="Q25" s="34">
        <v>1</v>
      </c>
      <c r="R25" s="34">
        <v>1</v>
      </c>
      <c r="S25" s="34">
        <v>1</v>
      </c>
      <c r="T25" s="34">
        <v>1</v>
      </c>
      <c r="U25" s="34">
        <v>1</v>
      </c>
      <c r="V25" s="34">
        <v>1</v>
      </c>
    </row>
    <row r="27" spans="2:22" x14ac:dyDescent="0.2">
      <c r="Q27" s="14" t="s">
        <v>78</v>
      </c>
      <c r="R27" s="61">
        <f>+AVERAGE(K22:T25)</f>
        <v>0.99948750000000008</v>
      </c>
    </row>
    <row r="29" spans="2:22" x14ac:dyDescent="0.2">
      <c r="Q29" s="14" t="s">
        <v>84</v>
      </c>
      <c r="R29" s="61">
        <f>+AVERAGE(K14:T17)</f>
        <v>0.99883500000000003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215F-9286-4BDA-A09A-0FE34D1C0E4C}">
  <dimension ref="B5:W19"/>
  <sheetViews>
    <sheetView topLeftCell="A4" workbookViewId="0">
      <selection activeCell="U13" sqref="U13"/>
    </sheetView>
  </sheetViews>
  <sheetFormatPr baseColWidth="10" defaultColWidth="11.5" defaultRowHeight="15" x14ac:dyDescent="0.2"/>
  <cols>
    <col min="2" max="2" width="25.6640625" bestFit="1" customWidth="1"/>
    <col min="3" max="17" width="11.5" hidden="1" customWidth="1"/>
    <col min="18" max="18" width="0" hidden="1" customWidth="1"/>
  </cols>
  <sheetData>
    <row r="5" spans="2:23" x14ac:dyDescent="0.2">
      <c r="B5" s="19" t="s">
        <v>59</v>
      </c>
      <c r="C5" s="22">
        <v>45627</v>
      </c>
      <c r="D5" s="22">
        <v>45658</v>
      </c>
      <c r="E5" s="22">
        <v>45689</v>
      </c>
      <c r="F5" s="22">
        <v>45717</v>
      </c>
      <c r="G5" s="22">
        <v>45748</v>
      </c>
      <c r="H5" s="22">
        <v>45778</v>
      </c>
      <c r="I5" s="22">
        <v>45809</v>
      </c>
      <c r="J5" s="22">
        <v>45839</v>
      </c>
      <c r="K5" s="22">
        <v>45870</v>
      </c>
      <c r="L5" s="22">
        <v>45901</v>
      </c>
      <c r="M5" s="22">
        <v>45931</v>
      </c>
      <c r="N5" s="22">
        <v>45962</v>
      </c>
      <c r="O5" s="22">
        <v>45992</v>
      </c>
      <c r="P5" s="22">
        <v>46023</v>
      </c>
      <c r="Q5" s="22">
        <v>46054</v>
      </c>
      <c r="R5" s="22">
        <v>46082</v>
      </c>
      <c r="S5" s="22">
        <v>46113</v>
      </c>
      <c r="T5" s="22">
        <v>46143</v>
      </c>
      <c r="U5" s="22">
        <v>46174</v>
      </c>
      <c r="V5" s="20" t="s">
        <v>60</v>
      </c>
    </row>
    <row r="6" spans="2:23" x14ac:dyDescent="0.2">
      <c r="B6" s="32" t="s">
        <v>5</v>
      </c>
      <c r="C6" s="21">
        <v>1</v>
      </c>
      <c r="D6" s="21">
        <v>1</v>
      </c>
      <c r="E6" s="21">
        <v>1</v>
      </c>
      <c r="F6" s="21">
        <v>1</v>
      </c>
      <c r="G6" s="21">
        <v>1</v>
      </c>
      <c r="H6" s="21">
        <v>1</v>
      </c>
      <c r="I6" s="21">
        <v>1</v>
      </c>
      <c r="J6" s="21">
        <v>1</v>
      </c>
      <c r="K6" s="21">
        <v>1</v>
      </c>
      <c r="L6" s="21">
        <v>1</v>
      </c>
      <c r="M6" s="21">
        <v>1</v>
      </c>
      <c r="N6" s="21">
        <v>1</v>
      </c>
      <c r="O6" s="21">
        <v>1</v>
      </c>
      <c r="P6" s="21">
        <v>1</v>
      </c>
      <c r="Q6" s="21">
        <v>1</v>
      </c>
      <c r="R6" s="21">
        <v>1</v>
      </c>
      <c r="S6" s="21">
        <v>1</v>
      </c>
      <c r="T6" s="21">
        <v>1</v>
      </c>
      <c r="U6" s="21">
        <v>1</v>
      </c>
      <c r="V6" s="21">
        <v>1</v>
      </c>
      <c r="W6" s="21"/>
    </row>
    <row r="7" spans="2:23" x14ac:dyDescent="0.2">
      <c r="B7" s="32" t="s">
        <v>7</v>
      </c>
      <c r="C7" s="21">
        <v>1</v>
      </c>
      <c r="D7" s="21">
        <v>1</v>
      </c>
      <c r="E7" s="21">
        <v>1</v>
      </c>
      <c r="F7" s="21">
        <v>1</v>
      </c>
      <c r="G7" s="21">
        <v>1</v>
      </c>
      <c r="H7" s="21">
        <v>1</v>
      </c>
      <c r="I7" s="21">
        <v>1</v>
      </c>
      <c r="J7" s="21">
        <v>1</v>
      </c>
      <c r="K7" s="21">
        <v>1</v>
      </c>
      <c r="L7" s="21">
        <v>1</v>
      </c>
      <c r="M7" s="21">
        <v>1</v>
      </c>
      <c r="N7" s="21">
        <v>1</v>
      </c>
      <c r="O7" s="21">
        <v>1</v>
      </c>
      <c r="P7" s="21">
        <v>1</v>
      </c>
      <c r="Q7" s="21">
        <v>1</v>
      </c>
      <c r="R7" s="21">
        <v>1</v>
      </c>
      <c r="S7" s="21">
        <v>1</v>
      </c>
      <c r="T7" s="21">
        <v>1</v>
      </c>
      <c r="U7" s="21">
        <v>1</v>
      </c>
      <c r="V7" s="21">
        <v>1</v>
      </c>
    </row>
    <row r="8" spans="2:23" x14ac:dyDescent="0.2">
      <c r="B8" s="32" t="s">
        <v>8</v>
      </c>
      <c r="C8" s="21">
        <v>1</v>
      </c>
      <c r="D8" s="21">
        <v>1</v>
      </c>
      <c r="E8" s="21">
        <v>1</v>
      </c>
      <c r="F8" s="21">
        <v>1</v>
      </c>
      <c r="G8" s="21">
        <v>1</v>
      </c>
      <c r="H8" s="21">
        <v>1</v>
      </c>
      <c r="I8" s="21">
        <v>1</v>
      </c>
      <c r="J8" s="21">
        <v>1</v>
      </c>
      <c r="K8" s="21">
        <v>1</v>
      </c>
      <c r="L8" s="21">
        <v>1</v>
      </c>
      <c r="M8" s="21">
        <v>1</v>
      </c>
      <c r="N8" s="21">
        <v>1</v>
      </c>
      <c r="O8" s="21">
        <v>1</v>
      </c>
      <c r="P8" s="21">
        <v>1</v>
      </c>
      <c r="Q8" s="21">
        <v>1</v>
      </c>
      <c r="R8" s="21">
        <v>1</v>
      </c>
      <c r="S8" s="21">
        <v>1</v>
      </c>
      <c r="T8" s="21">
        <v>1</v>
      </c>
      <c r="U8" s="21">
        <v>1</v>
      </c>
      <c r="V8" s="21">
        <v>1</v>
      </c>
    </row>
    <row r="9" spans="2:23" x14ac:dyDescent="0.2">
      <c r="B9" s="32" t="s">
        <v>9</v>
      </c>
      <c r="C9" s="21">
        <v>1</v>
      </c>
      <c r="D9" s="21">
        <v>1</v>
      </c>
      <c r="E9" s="21">
        <v>1</v>
      </c>
      <c r="F9" s="21">
        <v>1</v>
      </c>
      <c r="G9" s="21">
        <v>1</v>
      </c>
      <c r="H9" s="21">
        <v>1</v>
      </c>
      <c r="I9" s="21">
        <v>1</v>
      </c>
      <c r="J9" s="21">
        <v>1</v>
      </c>
      <c r="K9" s="21">
        <v>1</v>
      </c>
      <c r="L9" s="21">
        <v>1</v>
      </c>
      <c r="M9" s="21">
        <v>1</v>
      </c>
      <c r="N9" s="21">
        <v>1</v>
      </c>
      <c r="O9" s="21">
        <v>1</v>
      </c>
      <c r="P9" s="21">
        <v>1</v>
      </c>
      <c r="Q9" s="21">
        <v>1</v>
      </c>
      <c r="R9" s="21">
        <v>1</v>
      </c>
      <c r="S9" s="21">
        <v>1</v>
      </c>
      <c r="T9" s="21">
        <v>1</v>
      </c>
      <c r="U9" s="21">
        <v>1</v>
      </c>
      <c r="V9" s="21">
        <v>1</v>
      </c>
    </row>
    <row r="10" spans="2:23" x14ac:dyDescent="0.2">
      <c r="B10" s="32" t="s">
        <v>10</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row>
    <row r="11" spans="2:23" x14ac:dyDescent="0.2">
      <c r="B11" s="32" t="s">
        <v>11</v>
      </c>
      <c r="C11" s="21">
        <v>1</v>
      </c>
      <c r="D11" s="21">
        <v>1</v>
      </c>
      <c r="E11" s="21">
        <v>1</v>
      </c>
      <c r="F11" s="21">
        <v>1</v>
      </c>
      <c r="G11" s="21">
        <v>1</v>
      </c>
      <c r="H11" s="21">
        <v>1</v>
      </c>
      <c r="I11" s="21">
        <v>1</v>
      </c>
      <c r="J11" s="21">
        <v>1</v>
      </c>
      <c r="K11" s="21">
        <v>1</v>
      </c>
      <c r="L11" s="21">
        <v>1</v>
      </c>
      <c r="M11" s="21">
        <v>1</v>
      </c>
      <c r="N11" s="21">
        <v>1</v>
      </c>
      <c r="O11" s="21">
        <v>1</v>
      </c>
      <c r="P11" s="21">
        <v>1</v>
      </c>
      <c r="Q11" s="21">
        <v>1</v>
      </c>
      <c r="R11" s="21">
        <v>1</v>
      </c>
      <c r="S11" s="21">
        <v>1</v>
      </c>
      <c r="T11" s="21">
        <v>1</v>
      </c>
      <c r="U11" s="21">
        <v>1</v>
      </c>
      <c r="V11" s="21">
        <v>1</v>
      </c>
    </row>
    <row r="12" spans="2:23" x14ac:dyDescent="0.2">
      <c r="B12" s="32" t="s">
        <v>12</v>
      </c>
      <c r="C12" s="21">
        <v>1</v>
      </c>
      <c r="D12" s="21">
        <v>1</v>
      </c>
      <c r="E12" s="21">
        <v>1</v>
      </c>
      <c r="F12" s="21">
        <v>1</v>
      </c>
      <c r="G12" s="21">
        <v>1</v>
      </c>
      <c r="H12" s="21">
        <v>1</v>
      </c>
      <c r="I12" s="21">
        <v>1</v>
      </c>
      <c r="J12" s="21">
        <v>1</v>
      </c>
      <c r="K12" s="21">
        <v>1</v>
      </c>
      <c r="L12" s="21">
        <v>1</v>
      </c>
      <c r="M12" s="21">
        <v>1</v>
      </c>
      <c r="N12" s="21">
        <v>1</v>
      </c>
      <c r="O12" s="21">
        <v>1</v>
      </c>
      <c r="P12" s="21">
        <v>1</v>
      </c>
      <c r="Q12" s="21">
        <v>1</v>
      </c>
      <c r="R12" s="21">
        <v>1</v>
      </c>
      <c r="S12" s="21">
        <v>1</v>
      </c>
      <c r="T12" s="21">
        <v>1</v>
      </c>
      <c r="U12" s="21">
        <v>1</v>
      </c>
      <c r="V12" s="21">
        <v>1</v>
      </c>
    </row>
    <row r="13" spans="2:23" x14ac:dyDescent="0.2">
      <c r="B13" s="32" t="s">
        <v>13</v>
      </c>
      <c r="C13" s="21">
        <v>1</v>
      </c>
      <c r="D13" s="21">
        <v>1</v>
      </c>
      <c r="E13" s="21">
        <v>1</v>
      </c>
      <c r="F13" s="21">
        <v>1</v>
      </c>
      <c r="G13" s="21">
        <v>1</v>
      </c>
      <c r="H13" s="21">
        <v>1</v>
      </c>
      <c r="I13" s="21">
        <v>1</v>
      </c>
      <c r="J13" s="21">
        <v>1</v>
      </c>
      <c r="K13" s="21">
        <v>1</v>
      </c>
      <c r="L13" s="21">
        <v>1</v>
      </c>
      <c r="M13" s="21">
        <v>1</v>
      </c>
      <c r="N13" s="21">
        <v>1</v>
      </c>
      <c r="O13" s="21">
        <v>1</v>
      </c>
      <c r="P13" s="21">
        <v>1</v>
      </c>
      <c r="Q13" s="21">
        <v>1</v>
      </c>
      <c r="R13" s="21">
        <v>1</v>
      </c>
      <c r="S13" s="21">
        <v>1</v>
      </c>
      <c r="T13" s="21">
        <v>1</v>
      </c>
      <c r="U13" s="21">
        <v>1</v>
      </c>
      <c r="V13" s="21">
        <v>1</v>
      </c>
    </row>
    <row r="14" spans="2:23" x14ac:dyDescent="0.2">
      <c r="B14" s="32" t="s">
        <v>14</v>
      </c>
      <c r="C14" s="21">
        <v>1</v>
      </c>
      <c r="D14" s="21">
        <v>1</v>
      </c>
      <c r="E14" s="21">
        <v>1</v>
      </c>
      <c r="F14" s="21">
        <v>1</v>
      </c>
      <c r="G14" s="21">
        <v>1</v>
      </c>
      <c r="H14" s="21">
        <v>1</v>
      </c>
      <c r="I14" s="21">
        <v>1</v>
      </c>
      <c r="J14" s="21">
        <v>1</v>
      </c>
      <c r="K14" s="21">
        <v>1</v>
      </c>
      <c r="L14" s="21">
        <v>1</v>
      </c>
      <c r="M14" s="21">
        <v>1</v>
      </c>
      <c r="N14" s="21">
        <v>1</v>
      </c>
      <c r="O14" s="21">
        <v>1</v>
      </c>
      <c r="P14" s="21">
        <v>1</v>
      </c>
      <c r="Q14" s="21">
        <v>1</v>
      </c>
      <c r="R14" s="21">
        <v>1</v>
      </c>
      <c r="S14" s="21">
        <v>1</v>
      </c>
      <c r="T14" s="21">
        <v>1</v>
      </c>
      <c r="U14" s="21">
        <v>1</v>
      </c>
      <c r="V14" s="21">
        <v>1</v>
      </c>
    </row>
    <row r="15" spans="2:23" x14ac:dyDescent="0.2">
      <c r="B15" s="32" t="s">
        <v>15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row>
    <row r="16" spans="2:23" x14ac:dyDescent="0.2">
      <c r="B16" s="32" t="s">
        <v>16</v>
      </c>
      <c r="C16" s="21">
        <v>1</v>
      </c>
      <c r="D16" s="21">
        <v>1</v>
      </c>
      <c r="E16" s="21">
        <v>1</v>
      </c>
      <c r="F16" s="21">
        <v>1</v>
      </c>
      <c r="G16" s="21">
        <v>1</v>
      </c>
      <c r="H16" s="21">
        <v>1</v>
      </c>
      <c r="I16" s="21">
        <v>1</v>
      </c>
      <c r="J16" s="21">
        <v>1</v>
      </c>
      <c r="K16" s="21">
        <v>1</v>
      </c>
      <c r="L16" s="21">
        <v>1</v>
      </c>
      <c r="M16" s="21">
        <v>1</v>
      </c>
      <c r="N16" s="21">
        <v>1</v>
      </c>
      <c r="O16" s="21">
        <v>1</v>
      </c>
      <c r="P16" s="21">
        <v>1</v>
      </c>
      <c r="Q16" s="21">
        <v>1</v>
      </c>
      <c r="R16" s="21">
        <v>1</v>
      </c>
      <c r="S16" s="21">
        <v>1</v>
      </c>
      <c r="T16" s="21">
        <v>1</v>
      </c>
      <c r="U16" s="21">
        <v>1</v>
      </c>
      <c r="V16" s="21">
        <v>1</v>
      </c>
    </row>
    <row r="17" spans="2:22" x14ac:dyDescent="0.2">
      <c r="B17" s="32" t="s">
        <v>17</v>
      </c>
      <c r="C17" s="21">
        <v>1</v>
      </c>
      <c r="D17" s="21">
        <v>1</v>
      </c>
      <c r="E17" s="21">
        <v>1</v>
      </c>
      <c r="F17" s="21">
        <v>1</v>
      </c>
      <c r="G17" s="21">
        <v>1</v>
      </c>
      <c r="H17" s="21">
        <v>1</v>
      </c>
      <c r="I17" s="21">
        <v>1</v>
      </c>
      <c r="J17" s="21">
        <v>1</v>
      </c>
      <c r="K17" s="21">
        <v>1</v>
      </c>
      <c r="L17" s="21">
        <v>1</v>
      </c>
      <c r="M17" s="21">
        <v>1</v>
      </c>
      <c r="N17" s="21">
        <v>1</v>
      </c>
      <c r="O17" s="21">
        <v>1</v>
      </c>
      <c r="P17" s="21">
        <v>1</v>
      </c>
      <c r="Q17" s="21">
        <v>1</v>
      </c>
      <c r="R17" s="21">
        <v>1</v>
      </c>
      <c r="S17" s="21">
        <v>1</v>
      </c>
      <c r="T17" s="21">
        <v>1</v>
      </c>
      <c r="U17" s="21">
        <v>1</v>
      </c>
      <c r="V17" s="21">
        <v>1</v>
      </c>
    </row>
    <row r="18" spans="2:22" x14ac:dyDescent="0.2">
      <c r="B18" s="32" t="s">
        <v>18</v>
      </c>
      <c r="C18" s="21">
        <v>1</v>
      </c>
      <c r="D18" s="21">
        <v>1</v>
      </c>
      <c r="E18" s="21">
        <v>1</v>
      </c>
      <c r="F18" s="21">
        <v>1</v>
      </c>
      <c r="G18" s="21">
        <v>1</v>
      </c>
      <c r="H18" s="21">
        <v>1</v>
      </c>
      <c r="I18" s="21">
        <v>1</v>
      </c>
      <c r="J18" s="21">
        <v>1</v>
      </c>
      <c r="K18" s="21">
        <v>1</v>
      </c>
      <c r="L18" s="21">
        <v>1</v>
      </c>
      <c r="M18" s="21">
        <v>1</v>
      </c>
      <c r="N18" s="21">
        <v>1</v>
      </c>
      <c r="O18" s="21">
        <v>1</v>
      </c>
      <c r="P18" s="21">
        <v>1</v>
      </c>
      <c r="Q18" s="21">
        <v>1</v>
      </c>
      <c r="R18" s="21">
        <v>1</v>
      </c>
      <c r="S18" s="21">
        <v>1</v>
      </c>
      <c r="T18" s="21">
        <v>1</v>
      </c>
      <c r="U18" s="21">
        <v>1</v>
      </c>
      <c r="V18" s="21">
        <v>1</v>
      </c>
    </row>
    <row r="19" spans="2:22" x14ac:dyDescent="0.2">
      <c r="B19" s="32" t="s">
        <v>19</v>
      </c>
      <c r="C19" s="21">
        <v>1</v>
      </c>
      <c r="D19" s="21">
        <v>1</v>
      </c>
      <c r="E19" s="21">
        <v>1</v>
      </c>
      <c r="F19" s="21">
        <v>1</v>
      </c>
      <c r="G19" s="21">
        <v>1</v>
      </c>
      <c r="H19" s="21">
        <v>1</v>
      </c>
      <c r="I19" s="21">
        <v>1</v>
      </c>
      <c r="J19" s="21">
        <v>1</v>
      </c>
      <c r="K19" s="21">
        <v>1</v>
      </c>
      <c r="L19" s="21">
        <v>1</v>
      </c>
      <c r="M19" s="21">
        <v>1</v>
      </c>
      <c r="N19" s="21">
        <v>1</v>
      </c>
      <c r="O19" s="21">
        <v>1</v>
      </c>
      <c r="P19" s="21">
        <v>1</v>
      </c>
      <c r="Q19" s="21">
        <v>1</v>
      </c>
      <c r="R19" s="21">
        <v>1</v>
      </c>
      <c r="S19" s="21">
        <v>1</v>
      </c>
      <c r="T19" s="21">
        <v>1</v>
      </c>
      <c r="U19" s="21">
        <v>1</v>
      </c>
      <c r="V19" s="21">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6BFC-767D-480D-AD6A-7918F0D0DAEC}">
  <dimension ref="B5:E10"/>
  <sheetViews>
    <sheetView workbookViewId="0">
      <selection activeCell="D29" sqref="D29"/>
    </sheetView>
  </sheetViews>
  <sheetFormatPr baseColWidth="10" defaultColWidth="11.5" defaultRowHeight="15" x14ac:dyDescent="0.2"/>
  <cols>
    <col min="1" max="1" width="11.5" style="24"/>
    <col min="2" max="2" width="65.6640625" style="24" bestFit="1" customWidth="1"/>
    <col min="3" max="3" width="41.5" style="24" customWidth="1"/>
    <col min="4" max="4" width="19.5" style="24" bestFit="1" customWidth="1"/>
    <col min="5" max="5" width="54.83203125" style="24" customWidth="1"/>
    <col min="6" max="16384" width="11.5" style="24"/>
  </cols>
  <sheetData>
    <row r="5" spans="2:5" ht="20" x14ac:dyDescent="0.2">
      <c r="B5" s="64" t="s">
        <v>61</v>
      </c>
      <c r="C5" s="64" t="s">
        <v>62</v>
      </c>
      <c r="D5" s="64" t="s">
        <v>63</v>
      </c>
      <c r="E5" s="65" t="s">
        <v>64</v>
      </c>
    </row>
    <row r="6" spans="2:5" ht="272" hidden="1" x14ac:dyDescent="0.2">
      <c r="B6" s="66" t="s">
        <v>65</v>
      </c>
      <c r="C6" s="63" t="s">
        <v>66</v>
      </c>
      <c r="D6" s="63" t="s">
        <v>67</v>
      </c>
      <c r="E6" s="63" t="s">
        <v>68</v>
      </c>
    </row>
    <row r="7" spans="2:5" ht="96" hidden="1" x14ac:dyDescent="0.2">
      <c r="B7" s="63" t="s">
        <v>69</v>
      </c>
      <c r="C7" s="63" t="s">
        <v>70</v>
      </c>
      <c r="D7" s="63" t="s">
        <v>67</v>
      </c>
      <c r="E7" s="63" t="s">
        <v>71</v>
      </c>
    </row>
    <row r="8" spans="2:5" ht="64" hidden="1" x14ac:dyDescent="0.2">
      <c r="B8" s="63" t="s">
        <v>72</v>
      </c>
      <c r="C8" s="63" t="s">
        <v>73</v>
      </c>
      <c r="D8" s="63" t="s">
        <v>67</v>
      </c>
      <c r="E8" s="63" t="s">
        <v>74</v>
      </c>
    </row>
    <row r="9" spans="2:5" x14ac:dyDescent="0.2">
      <c r="B9" s="63"/>
      <c r="C9" s="63"/>
      <c r="D9" s="63"/>
      <c r="E9" s="63"/>
    </row>
    <row r="10" spans="2:5" x14ac:dyDescent="0.2">
      <c r="B10" s="63"/>
      <c r="C10" s="63"/>
      <c r="D10" s="63"/>
      <c r="E10" s="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CE9F-4FF9-4E3A-85B6-E1A9E6101FD0}">
  <dimension ref="B4:D11"/>
  <sheetViews>
    <sheetView topLeftCell="A2" workbookViewId="0">
      <selection activeCell="E41" sqref="E41"/>
    </sheetView>
  </sheetViews>
  <sheetFormatPr baseColWidth="10" defaultColWidth="11.5" defaultRowHeight="15" x14ac:dyDescent="0.2"/>
  <cols>
    <col min="1" max="1" width="11.5" style="24"/>
    <col min="2" max="2" width="22.5" style="24" customWidth="1"/>
    <col min="3" max="3" width="57.1640625" style="24" customWidth="1"/>
    <col min="4" max="4" width="50.83203125" style="24" bestFit="1" customWidth="1"/>
    <col min="5" max="16384" width="11.5" style="24"/>
  </cols>
  <sheetData>
    <row r="4" spans="2:4" ht="19" x14ac:dyDescent="0.2">
      <c r="B4" s="40" t="s">
        <v>75</v>
      </c>
      <c r="C4" s="40" t="s">
        <v>76</v>
      </c>
      <c r="D4" s="40" t="s">
        <v>77</v>
      </c>
    </row>
    <row r="5" spans="2:4" x14ac:dyDescent="0.2">
      <c r="B5" s="63"/>
      <c r="C5" s="63"/>
      <c r="D5" s="63"/>
    </row>
    <row r="6" spans="2:4" x14ac:dyDescent="0.2">
      <c r="B6" s="63"/>
      <c r="C6" s="63"/>
      <c r="D6" s="63"/>
    </row>
    <row r="7" spans="2:4" x14ac:dyDescent="0.2">
      <c r="B7" s="63"/>
      <c r="C7" s="63"/>
      <c r="D7" s="63"/>
    </row>
    <row r="8" spans="2:4" x14ac:dyDescent="0.2">
      <c r="B8" s="63"/>
      <c r="C8" s="63"/>
      <c r="D8" s="63"/>
    </row>
    <row r="9" spans="2:4" x14ac:dyDescent="0.2">
      <c r="B9" s="63"/>
      <c r="C9" s="63"/>
      <c r="D9" s="63"/>
    </row>
    <row r="10" spans="2:4" x14ac:dyDescent="0.2">
      <c r="B10" s="63"/>
      <c r="C10" s="63"/>
      <c r="D10" s="63"/>
    </row>
    <row r="11" spans="2:4" x14ac:dyDescent="0.2">
      <c r="B11" s="63"/>
      <c r="C11" s="63"/>
      <c r="D11" s="6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135E4B32B26B2488E4442E57864EA4F" ma:contentTypeVersion="6" ma:contentTypeDescription="Crear nuevo documento." ma:contentTypeScope="" ma:versionID="b283d4cf1c86539e4ae346c38fc01d16">
  <xsd:schema xmlns:xsd="http://www.w3.org/2001/XMLSchema" xmlns:xs="http://www.w3.org/2001/XMLSchema" xmlns:p="http://schemas.microsoft.com/office/2006/metadata/properties" xmlns:ns2="dfc41998-78bc-4c08-91de-816c175871b0" xmlns:ns3="a9965282-d0c8-47ef-8054-6f808d6dcc09" targetNamespace="http://schemas.microsoft.com/office/2006/metadata/properties" ma:root="true" ma:fieldsID="bac0b173bf2479e8baedba564e5da120" ns2:_="" ns3:_="">
    <xsd:import namespace="dfc41998-78bc-4c08-91de-816c175871b0"/>
    <xsd:import namespace="a9965282-d0c8-47ef-8054-6f808d6dcc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41998-78bc-4c08-91de-816c17587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965282-d0c8-47ef-8054-6f808d6dcc09"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C11C1E-6202-4831-8769-B2E74E43D623}">
  <ds:schemaRefs>
    <ds:schemaRef ds:uri="http://schemas.microsoft.com/sharepoint/v3/contenttype/forms"/>
  </ds:schemaRefs>
</ds:datastoreItem>
</file>

<file path=customXml/itemProps2.xml><?xml version="1.0" encoding="utf-8"?>
<ds:datastoreItem xmlns:ds="http://schemas.openxmlformats.org/officeDocument/2006/customXml" ds:itemID="{8EAC4F93-78ED-4936-9AB0-B4C18B11836D}">
  <ds:schemaRefs>
    <ds:schemaRef ds:uri="http://schemas.microsoft.com/office/infopath/2007/PartnerControls"/>
    <ds:schemaRef ds:uri="http://purl.org/dc/dcmitype/"/>
    <ds:schemaRef ds:uri="http://www.w3.org/XML/1998/namespace"/>
    <ds:schemaRef ds:uri="dfc41998-78bc-4c08-91de-816c175871b0"/>
    <ds:schemaRef ds:uri="http://schemas.microsoft.com/office/2006/documentManagement/types"/>
    <ds:schemaRef ds:uri="http://purl.org/dc/terms/"/>
    <ds:schemaRef ds:uri="http://purl.org/dc/elements/1.1/"/>
    <ds:schemaRef ds:uri="http://schemas.openxmlformats.org/package/2006/metadata/core-properties"/>
    <ds:schemaRef ds:uri="a9965282-d0c8-47ef-8054-6f808d6dcc09"/>
    <ds:schemaRef ds:uri="http://schemas.microsoft.com/office/2006/metadata/properties"/>
  </ds:schemaRefs>
</ds:datastoreItem>
</file>

<file path=customXml/itemProps3.xml><?xml version="1.0" encoding="utf-8"?>
<ds:datastoreItem xmlns:ds="http://schemas.openxmlformats.org/officeDocument/2006/customXml" ds:itemID="{38B409F7-5C82-4AE4-90D8-6B399D43C4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c41998-78bc-4c08-91de-816c175871b0"/>
    <ds:schemaRef ds:uri="a9965282-d0c8-47ef-8054-6f808d6dcc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Disponibilidad</vt:lpstr>
      <vt:lpstr>Capacidad</vt:lpstr>
      <vt:lpstr>Inidcadores</vt:lpstr>
      <vt:lpstr>Casos</vt:lpstr>
      <vt:lpstr>Grafica Dispo y Gestion</vt:lpstr>
      <vt:lpstr>Backups</vt:lpstr>
      <vt:lpstr>Mitigación</vt:lpstr>
      <vt:lpstr>Logros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Adriano Carreño Arciniegas</dc:creator>
  <cp:keywords/>
  <dc:description/>
  <cp:lastModifiedBy>Yordy Pardo</cp:lastModifiedBy>
  <cp:revision/>
  <dcterms:created xsi:type="dcterms:W3CDTF">2025-04-09T10:43:32Z</dcterms:created>
  <dcterms:modified xsi:type="dcterms:W3CDTF">2026-07-23T12:19:22Z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49d469-b650-4820-8f07-8b298197d7ad_Enabled">
    <vt:lpwstr>true</vt:lpwstr>
  </property>
  <property fmtid="{D5CDD505-2E9C-101B-9397-08002B2CF9AE}" pid="3" name="MSIP_Label_bd49d469-b650-4820-8f07-8b298197d7ad_SetDate">
    <vt:lpwstr>2025-04-13T12:06:10Z</vt:lpwstr>
  </property>
  <property fmtid="{D5CDD505-2E9C-101B-9397-08002B2CF9AE}" pid="4" name="MSIP_Label_bd49d469-b650-4820-8f07-8b298197d7ad_Method">
    <vt:lpwstr>Standard</vt:lpwstr>
  </property>
  <property fmtid="{D5CDD505-2E9C-101B-9397-08002B2CF9AE}" pid="5" name="MSIP_Label_bd49d469-b650-4820-8f07-8b298197d7ad_Name">
    <vt:lpwstr>Confidencial</vt:lpwstr>
  </property>
  <property fmtid="{D5CDD505-2E9C-101B-9397-08002B2CF9AE}" pid="6" name="MSIP_Label_bd49d469-b650-4820-8f07-8b298197d7ad_SiteId">
    <vt:lpwstr>8d3d69d9-6222-4c0d-a022-66577be425fd</vt:lpwstr>
  </property>
  <property fmtid="{D5CDD505-2E9C-101B-9397-08002B2CF9AE}" pid="7" name="MSIP_Label_bd49d469-b650-4820-8f07-8b298197d7ad_ActionId">
    <vt:lpwstr>bc096b3b-72d3-45b0-8e7e-d1cad63d27a3</vt:lpwstr>
  </property>
  <property fmtid="{D5CDD505-2E9C-101B-9397-08002B2CF9AE}" pid="8" name="MSIP_Label_bd49d469-b650-4820-8f07-8b298197d7ad_ContentBits">
    <vt:lpwstr>0</vt:lpwstr>
  </property>
  <property fmtid="{D5CDD505-2E9C-101B-9397-08002B2CF9AE}" pid="9" name="MSIP_Label_bd49d469-b650-4820-8f07-8b298197d7ad_Tag">
    <vt:lpwstr>10, 3, 0, 1</vt:lpwstr>
  </property>
  <property fmtid="{D5CDD505-2E9C-101B-9397-08002B2CF9AE}" pid="10" name="ContentTypeId">
    <vt:lpwstr>0x0101001135E4B32B26B2488E4442E57864EA4F</vt:lpwstr>
  </property>
</Properties>
</file>